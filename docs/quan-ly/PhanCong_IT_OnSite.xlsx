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Đồ án thực tế công nghệ phần mềm\"/>
    </mc:Choice>
  </mc:AlternateContent>
  <xr:revisionPtr revIDLastSave="0" documentId="13_ncr:1_{121DBDBD-E7FA-4A87-8705-65A7CB6320EA}" xr6:coauthVersionLast="47" xr6:coauthVersionMax="47" xr10:uidLastSave="{00000000-0000-0000-0000-000000000000}"/>
  <bookViews>
    <workbookView xWindow="-108" yWindow="-108" windowWidth="23256" windowHeight="13176" tabRatio="500" firstSheet="1" activeTab="1" xr2:uid="{00000000-000D-0000-FFFF-FFFF00000000}"/>
  </bookViews>
  <sheets>
    <sheet name="Thành viên" sheetId="1" r:id="rId1"/>
    <sheet name="Tiến độ" sheetId="2" r:id="rId2"/>
    <sheet name="GĐ1 Quản lý dự án" sheetId="3" r:id="rId3"/>
    <sheet name="GĐ2 Phân tích yêu cầu" sheetId="4" r:id="rId4"/>
    <sheet name="GĐ3 Thiết kế" sheetId="5" r:id="rId5"/>
    <sheet name="GĐ4 Lập trình" sheetId="6" r:id="rId6"/>
    <sheet name="GĐ5 Kiểm thử" sheetId="7" r:id="rId7"/>
    <sheet name="GĐ6 Triển khai và bảo vệ" sheetId="8" r:id="rId8"/>
  </sheets>
  <definedNames>
    <definedName name="_xlnm.Print_Titles" localSheetId="2">'GĐ1 Quản lý dự án'!$4:$4</definedName>
    <definedName name="_xlnm.Print_Titles" localSheetId="3">'GĐ2 Phân tích yêu cầu'!$4:$4</definedName>
    <definedName name="_xlnm.Print_Titles" localSheetId="4">'GĐ3 Thiết kế'!$4:$4</definedName>
    <definedName name="_xlnm.Print_Titles" localSheetId="5">'GĐ4 Lập trình'!$4:$4</definedName>
    <definedName name="_xlnm.Print_Titles" localSheetId="6">'GĐ5 Kiểm thử'!$4:$4</definedName>
    <definedName name="_xlnm.Print_Titles" localSheetId="7">'GĐ6 Triển khai và bảo vệ'!$4:$4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4" i="8" l="1"/>
  <c r="I14" i="8"/>
  <c r="K13" i="8"/>
  <c r="I13" i="8"/>
  <c r="A12" i="8"/>
  <c r="K11" i="8"/>
  <c r="I11" i="8"/>
  <c r="K10" i="8"/>
  <c r="I10" i="8"/>
  <c r="K9" i="8"/>
  <c r="I9" i="8"/>
  <c r="A8" i="8"/>
  <c r="K7" i="8"/>
  <c r="I7" i="8"/>
  <c r="K6" i="8"/>
  <c r="I6" i="8"/>
  <c r="A5" i="8"/>
  <c r="K14" i="7"/>
  <c r="I14" i="7"/>
  <c r="K13" i="7"/>
  <c r="I13" i="7"/>
  <c r="K12" i="7"/>
  <c r="I12" i="7"/>
  <c r="A11" i="7"/>
  <c r="K10" i="7"/>
  <c r="I10" i="7"/>
  <c r="K9" i="7"/>
  <c r="I9" i="7"/>
  <c r="A8" i="7"/>
  <c r="K7" i="7"/>
  <c r="I7" i="7"/>
  <c r="K6" i="7"/>
  <c r="I6" i="7"/>
  <c r="A5" i="7"/>
  <c r="K24" i="6"/>
  <c r="I24" i="6"/>
  <c r="K23" i="6"/>
  <c r="I23" i="6"/>
  <c r="K22" i="6"/>
  <c r="I22" i="6"/>
  <c r="K21" i="6"/>
  <c r="I21" i="6"/>
  <c r="K20" i="6"/>
  <c r="I20" i="6"/>
  <c r="K19" i="6"/>
  <c r="I19" i="6"/>
  <c r="A18" i="6"/>
  <c r="K17" i="6"/>
  <c r="I17" i="6"/>
  <c r="K16" i="6"/>
  <c r="I16" i="6"/>
  <c r="K15" i="6"/>
  <c r="I15" i="6"/>
  <c r="K14" i="6"/>
  <c r="I14" i="6"/>
  <c r="A13" i="6"/>
  <c r="K12" i="6"/>
  <c r="I12" i="6"/>
  <c r="K11" i="6"/>
  <c r="I11" i="6"/>
  <c r="K10" i="6"/>
  <c r="I10" i="6"/>
  <c r="K9" i="6"/>
  <c r="I9" i="6"/>
  <c r="K8" i="6"/>
  <c r="I8" i="6"/>
  <c r="K7" i="6"/>
  <c r="I7" i="6"/>
  <c r="K6" i="6"/>
  <c r="I6" i="6"/>
  <c r="A5" i="6"/>
  <c r="K18" i="5"/>
  <c r="I18" i="5"/>
  <c r="K17" i="5"/>
  <c r="I17" i="5"/>
  <c r="K16" i="5"/>
  <c r="I16" i="5"/>
  <c r="A15" i="5"/>
  <c r="K14" i="5"/>
  <c r="I14" i="5"/>
  <c r="K13" i="5"/>
  <c r="I13" i="5"/>
  <c r="K12" i="5"/>
  <c r="I12" i="5"/>
  <c r="K11" i="5"/>
  <c r="I11" i="5"/>
  <c r="A10" i="5"/>
  <c r="K9" i="5"/>
  <c r="I9" i="5"/>
  <c r="K8" i="5"/>
  <c r="I8" i="5"/>
  <c r="K7" i="5"/>
  <c r="I7" i="5"/>
  <c r="K6" i="5"/>
  <c r="I6" i="5"/>
  <c r="A5" i="5"/>
  <c r="K16" i="4"/>
  <c r="I16" i="4"/>
  <c r="K15" i="4"/>
  <c r="I15" i="4"/>
  <c r="K14" i="4"/>
  <c r="I14" i="4"/>
  <c r="K13" i="4"/>
  <c r="I13" i="4"/>
  <c r="A12" i="4"/>
  <c r="K11" i="4"/>
  <c r="I11" i="4"/>
  <c r="K10" i="4"/>
  <c r="I10" i="4"/>
  <c r="A9" i="4"/>
  <c r="K8" i="4"/>
  <c r="I8" i="4"/>
  <c r="K7" i="4"/>
  <c r="I7" i="4"/>
  <c r="K6" i="4"/>
  <c r="I6" i="4"/>
  <c r="A5" i="4"/>
  <c r="K13" i="3"/>
  <c r="I13" i="3"/>
  <c r="A12" i="3"/>
  <c r="K11" i="3"/>
  <c r="I11" i="3"/>
  <c r="K10" i="3"/>
  <c r="I10" i="3"/>
  <c r="A9" i="3"/>
  <c r="K8" i="3"/>
  <c r="I8" i="3"/>
  <c r="K7" i="3"/>
  <c r="I7" i="3"/>
  <c r="K6" i="3"/>
  <c r="I6" i="3"/>
  <c r="A5" i="3"/>
  <c r="L26" i="2"/>
  <c r="M26" i="2" s="1"/>
  <c r="J26" i="2"/>
  <c r="K26" i="2" s="1"/>
  <c r="H26" i="2"/>
  <c r="I26" i="2" s="1"/>
  <c r="F26" i="2"/>
  <c r="G26" i="2" s="1"/>
  <c r="D26" i="2"/>
  <c r="E26" i="2" s="1"/>
  <c r="B26" i="2"/>
  <c r="C26" i="2" s="1"/>
  <c r="A26" i="2"/>
  <c r="L25" i="2"/>
  <c r="M25" i="2" s="1"/>
  <c r="J25" i="2"/>
  <c r="K25" i="2" s="1"/>
  <c r="H25" i="2"/>
  <c r="I25" i="2" s="1"/>
  <c r="F25" i="2"/>
  <c r="G25" i="2" s="1"/>
  <c r="D25" i="2"/>
  <c r="E25" i="2" s="1"/>
  <c r="B25" i="2"/>
  <c r="C25" i="2" s="1"/>
  <c r="A25" i="2"/>
  <c r="L24" i="2"/>
  <c r="M24" i="2" s="1"/>
  <c r="J24" i="2"/>
  <c r="K24" i="2" s="1"/>
  <c r="H24" i="2"/>
  <c r="I24" i="2" s="1"/>
  <c r="F24" i="2"/>
  <c r="G24" i="2" s="1"/>
  <c r="D24" i="2"/>
  <c r="E24" i="2" s="1"/>
  <c r="B24" i="2"/>
  <c r="C24" i="2" s="1"/>
  <c r="A24" i="2"/>
  <c r="F19" i="2"/>
  <c r="E19" i="2"/>
  <c r="D19" i="2"/>
  <c r="C19" i="2"/>
  <c r="B19" i="2"/>
  <c r="G19" i="2" s="1"/>
  <c r="A19" i="2"/>
  <c r="F18" i="2"/>
  <c r="E18" i="2"/>
  <c r="D18" i="2"/>
  <c r="C18" i="2"/>
  <c r="B18" i="2"/>
  <c r="G18" i="2" s="1"/>
  <c r="A18" i="2"/>
  <c r="F17" i="2"/>
  <c r="E17" i="2"/>
  <c r="D17" i="2"/>
  <c r="C17" i="2"/>
  <c r="B17" i="2"/>
  <c r="G17" i="2" s="1"/>
  <c r="A17" i="2"/>
  <c r="E13" i="2"/>
  <c r="F12" i="2"/>
  <c r="E12" i="2"/>
  <c r="D12" i="2"/>
  <c r="C12" i="2"/>
  <c r="B12" i="2"/>
  <c r="G12" i="2" s="1"/>
  <c r="F11" i="2"/>
  <c r="E11" i="2"/>
  <c r="D11" i="2"/>
  <c r="C11" i="2"/>
  <c r="B11" i="2"/>
  <c r="G11" i="2" s="1"/>
  <c r="F10" i="2"/>
  <c r="E10" i="2"/>
  <c r="D10" i="2"/>
  <c r="C10" i="2"/>
  <c r="G10" i="2" s="1"/>
  <c r="B10" i="2"/>
  <c r="F9" i="2"/>
  <c r="E9" i="2"/>
  <c r="D9" i="2"/>
  <c r="C9" i="2"/>
  <c r="B9" i="2"/>
  <c r="G9" i="2" s="1"/>
  <c r="F8" i="2"/>
  <c r="E8" i="2"/>
  <c r="D8" i="2"/>
  <c r="C8" i="2"/>
  <c r="B8" i="2"/>
  <c r="G8" i="2" s="1"/>
  <c r="F7" i="2"/>
  <c r="E7" i="2"/>
  <c r="D7" i="2"/>
  <c r="D13" i="2" s="1"/>
  <c r="C7" i="2"/>
  <c r="C13" i="2" s="1"/>
  <c r="B7" i="2"/>
  <c r="F13" i="2" l="1"/>
  <c r="B13" i="2"/>
  <c r="G7" i="2"/>
  <c r="H18" i="2" l="1"/>
  <c r="H17" i="2"/>
  <c r="G13" i="2"/>
  <c r="B3" i="2" s="1"/>
  <c r="H19" i="2"/>
</calcChain>
</file>

<file path=xl/sharedStrings.xml><?xml version="1.0" encoding="utf-8"?>
<sst xmlns="http://schemas.openxmlformats.org/spreadsheetml/2006/main" count="733" uniqueCount="457">
  <si>
    <t>THÔNG TIN THÀNH VIÊN – ĐỒ ÁN IT ONSITE</t>
  </si>
  <si>
    <t>Mã</t>
  </si>
  <si>
    <t>Họ và tên</t>
  </si>
  <si>
    <t>MSSV</t>
  </si>
  <si>
    <t>Vai trò</t>
  </si>
  <si>
    <t>Phụ trách chính</t>
  </si>
  <si>
    <t>TV1</t>
  </si>
  <si>
    <t>Phạm Ngọc Trung</t>
  </si>
  <si>
    <t>080205000925</t>
  </si>
  <si>
    <t>Trưởng nhóm</t>
  </si>
  <si>
    <t>Backend, AI, triển khai</t>
  </si>
  <si>
    <t>TV2</t>
  </si>
  <si>
    <t>Trần Quốc Anh Hoàng</t>
  </si>
  <si>
    <t>Thành viên</t>
  </si>
  <si>
    <t>Frontend, giao diện</t>
  </si>
  <si>
    <t>TV3</t>
  </si>
  <si>
    <t>Nguyễn Văn Thu</t>
  </si>
  <si>
    <t>Phân tích nghiệp vụ, kiểm thử, tài liệu</t>
  </si>
  <si>
    <t>TIẾN ĐỘ ĐỒ ÁN – IT ONSITE</t>
  </si>
  <si>
    <t>Hoàn thành toàn dự án</t>
  </si>
  <si>
    <t>THEO GIAI ĐOẠN</t>
  </si>
  <si>
    <t>Giai đoạn</t>
  </si>
  <si>
    <t>Số công việc</t>
  </si>
  <si>
    <t>Đã làm</t>
  </si>
  <si>
    <t>Đang làm</t>
  </si>
  <si>
    <t>Chưa làm</t>
  </si>
  <si>
    <t>Quá hạn</t>
  </si>
  <si>
    <t>% hoàn thành</t>
  </si>
  <si>
    <t>GĐ1 – Quản lý dự án</t>
  </si>
  <si>
    <t>GĐ2 – Phân tích yêu cầu</t>
  </si>
  <si>
    <t>GĐ3 – Thiết kế</t>
  </si>
  <si>
    <t>GĐ4 – Lập trình</t>
  </si>
  <si>
    <t>GĐ5 – Kiểm thử</t>
  </si>
  <si>
    <t>GĐ6 – Triển khai và bảo vệ</t>
  </si>
  <si>
    <t>Tổng</t>
  </si>
  <si>
    <t>THEO THÀNH VIÊN</t>
  </si>
  <si>
    <t>Tỷ lệ khối lượng</t>
  </si>
  <si>
    <t>SỐ CÔNG VIỆC VÀ % HOÀN THÀNH THEO GIAI ĐOẠN</t>
  </si>
  <si>
    <t>GĐ1</t>
  </si>
  <si>
    <t>GĐ2</t>
  </si>
  <si>
    <t>GĐ3</t>
  </si>
  <si>
    <t>GĐ4</t>
  </si>
  <si>
    <t>GĐ5</t>
  </si>
  <si>
    <t>GĐ6</t>
  </si>
  <si>
    <t>Số CV</t>
  </si>
  <si>
    <t>% xong</t>
  </si>
  <si>
    <t>GIAI ĐOẠN 1 – QUẢN LÝ DỰ ÁN</t>
  </si>
  <si>
    <t>Điều phối nhóm, theo dõi tiến độ, quản lý tài liệu, rủi ro và thay đổi yêu cầu trong suốt học kỳ.</t>
  </si>
  <si>
    <t>Mã CV</t>
  </si>
  <si>
    <t>Công việc</t>
  </si>
  <si>
    <t>Mô tả chi tiết (các bước thực hiện)</t>
  </si>
  <si>
    <t>Đầu vào cần có</t>
  </si>
  <si>
    <t>Kết quả đầu ra</t>
  </si>
  <si>
    <t>Tiêu chí hoàn thành</t>
  </si>
  <si>
    <t>Liên quan (UC / BR / NFR)</t>
  </si>
  <si>
    <t>Mã TV</t>
  </si>
  <si>
    <t>Người thực hiện</t>
  </si>
  <si>
    <t>Mã người review</t>
  </si>
  <si>
    <t>Người review</t>
  </si>
  <si>
    <t>Bắt đầu</t>
  </si>
  <si>
    <t>Hạn</t>
  </si>
  <si>
    <t>Trạng thái</t>
  </si>
  <si>
    <t>Ghi chú</t>
  </si>
  <si>
    <t>GĐ1-01</t>
  </si>
  <si>
    <t>Thiết lập và quản lý workspace GitHub</t>
  </si>
  <si>
    <t>1. Tạo repository it-onsite theo cấu trúc: backend/, frontend/, docs/, infra/, .github/workflows/.
2. Mời 2 thành viên với quyền Write.
3. Tạo nhánh main và develop; bật bảo vệ nhánh: chỉ cập nhật qua Pull Request, cần ít nhất 1 người review.
4. Tạo GitHub Projects gồm 4 cột: Todo, In progress, Review, Done.
5. Tạo Issue cho từng công việc trong file này, đặt tên theo mã công việc (ví dụ GĐ2-04), gán người phụ trách và nhãn giai đoạn.
6. Viết README.md: giới thiệu đề tài, cấu trúc thư mục, quy ước nhánh feature/&lt;mã công việc&gt;-&lt;tên ngắn&gt;, quy ước commit (feat, fix, docs, test, refactor, chore).</t>
  </si>
  <si>
    <t>SRS v0.1 mục 7.2; file giao việc này</t>
  </si>
  <si>
    <t>Repository GitHub, board GitHub Projects, README.md</t>
  </si>
  <si>
    <t>Cả 3 thành viên tạo được nhánh, push và mở Pull Request thử vào develop thành công; board có đủ Issue của giai đoạn 1–3.</t>
  </si>
  <si>
    <t>SRS 7.2; D4</t>
  </si>
  <si>
    <t>GĐ1-02</t>
  </si>
  <si>
    <t>Chủ trì họp nhóm hằng tuần và làm việc với giảng viên</t>
  </si>
  <si>
    <t>1. Họp nhóm 1 lần/tuần (30–45 phút): mỗi người báo việc đã làm, việc tuần tới, vướng mắc.
2. Chốt việc tuần tới và cập nhật lên board GitHub.
3. Trước mỗi buổi học: chuẩn bị nội dung báo cáo tiến độ cho giảng viên.
4. Sau mỗi buổi học: chuyển từng góp ý của giảng viên thành Issue có người phụ trách và báo TV3 ghi vào nhật ký thay đổi yêu cầu (GĐ1-06).</t>
  </si>
  <si>
    <t>Biên bản họp (GĐ1-04); board GitHub</t>
  </si>
  <si>
    <t>Danh sách góp ý của giảng viên kèm Issue tương ứng</t>
  </si>
  <si>
    <t>Mọi góp ý của giảng viên đều có Issue và người phụ trách trong vòng 2 ngày sau buổi học.</t>
  </si>
  <si>
    <t>—</t>
  </si>
  <si>
    <t>GĐ1-03</t>
  </si>
  <si>
    <t>Theo dõi tiến độ và review Pull Request</t>
  </si>
  <si>
    <t>1. Cuối mỗi tuần: đối chiếu cột Trạng thái trong file này với board GitHub, cập nhật cho khớp.
2. Nhắc thành viên có công việc sát hạn hoặc quá hạn (xem sheet Tiến độ).
3. Review Pull Request phần tài liệu và giao diện trong vòng 48 giờ: đúng yêu cầu, đúng quy ước, không làm hỏng chức năng cũ.
4. Khi một thành viên quá tải: đề xuất điều chỉnh phân công trong buổi họp.</t>
  </si>
  <si>
    <t>File giao việc; board GitHub</t>
  </si>
  <si>
    <t>File giao việc và board được cập nhật hằng tuần</t>
  </si>
  <si>
    <t>Không có Pull Request chờ review quá 48 giờ; file và board khớp nhau tại mỗi buổi họp.</t>
  </si>
  <si>
    <t>GĐ1-04</t>
  </si>
  <si>
    <t>Ghi biên bản họp nhóm</t>
  </si>
  <si>
    <t>1. Tạo mẫu biên bản gồm: ngày họp, người tham dự, nội dung từng người báo cáo, quyết định của nhóm, việc được giao (người làm, hạn).
2. Ghi biên bản ở mỗi buổi họp nhóm và mỗi buổi làm việc với giảng viên.
3. Lưu tại docs/meetings/ với tên YYYY-MM-DD.md.
4. Gửi link biên bản vào nhóm chat trong vòng 24 giờ sau buổi họp.</t>
  </si>
  <si>
    <t>Bộ biên bản họp theo từng tuần</t>
  </si>
  <si>
    <t>Đủ biên bản cho mọi buổi họp; mỗi biên bản có mục "Quyết định" và "Việc được giao".</t>
  </si>
  <si>
    <t>GĐ1-05</t>
  </si>
  <si>
    <t>Quản lý kho tài liệu chung</t>
  </si>
  <si>
    <t>1. Tạo thư mục chung trên OneDrive của trường, chia sẻ quyền chỉnh sửa cho nhóm.
2. Chia thư mục: 01-SRS, 02-SAD, 03-CSDL, 04-KiemThu, 05-BaoCao, 06-HinhAnh, 99-LuuTru.
3. Quy ước tên file: &lt;LoaiTaiLieu&gt;_IT_OnSite_v&lt;x.y&gt;.&lt;đuôi&gt; (ví dụ SRS_IT_OnSite_v1.0.docx).
4. Mỗi khi có bản mới: giữ bản mới nhất ở thư mục chính, chuyển bản cũ vào 99-LuuTru.
5. Định kỳ đồng bộ bản chính thức của tài liệu vào thư mục docs/ trong repository.</t>
  </si>
  <si>
    <t>Thư mục tài liệu chung có cấu trúc thống nhất</t>
  </si>
  <si>
    <t>Mỗi loại tài liệu chỉ có một bản mới nhất ở thư mục chính; bản trong docs/ của repository trùng với bản mới nhất.</t>
  </si>
  <si>
    <t>GĐ1-06</t>
  </si>
  <si>
    <t>Quản lý rủi ro và thay đổi yêu cầu</t>
  </si>
  <si>
    <t>1. Lập bảng rủi ro: mô tả, khả năng xảy ra (thấp/trung bình/cao), mức ảnh hưởng, biện pháp phòng ngừa, người theo dõi.
2. Đưa vào các rủi ro ban đầu: Gemini API lỗi hoặc hết hạn mức; thành viên trễ việc; yêu cầu thay đổi muộn; không đủ người tham gia khảo sát; triển khai máy chủ lỗi sát ngày bảo vệ.
3. Lập nhật ký thay đổi yêu cầu: ngày, nguồn (giảng viên, chủ dịch vụ, khảo sát), nội dung thay đổi, UC/BR/NFR bị ảnh hưởng, quyết định của nhóm.
4. Cập nhật cả hai bảng sau mỗi buổi họp và mỗi buổi làm việc với giảng viên.</t>
  </si>
  <si>
    <t>Góp ý của giảng viên; biên bản họp (GĐ1-04)</t>
  </si>
  <si>
    <t>docs/quan-ly/RuiRo_ThayDoi.xlsx gồm 2 sheet: Rủi ro, Thay đổi yêu cầu</t>
  </si>
  <si>
    <t>Mọi thay đổi của SRS v1.0 so với v0.1 đều truy được về một dòng trong nhật ký thay đổi.</t>
  </si>
  <si>
    <t>GIAI ĐOẠN 2 – PHÂN TÍCH YÊU CẦU</t>
  </si>
  <si>
    <t>Hoàn thiện SRS v1.0. Phân tích xuất phát từ quy trình làm việc thực tế của dịch vụ và các use case, theo góp ý của giảng viên.</t>
  </si>
  <si>
    <t>GĐ2-01</t>
  </si>
  <si>
    <t>Soạn tài liệu chính sách vận hành của dịch vụ</t>
  </si>
  <si>
    <t>1. Với vai trò chủ dịch vụ, viết rõ quy trình làm việc thực tế từ lúc nhận liên hệ của khách tới lúc thu tiền và bảo hành. Hoàn thành phần này đầu tiên để TV3 vẽ quy trình (GĐ2-07).
2. Chốt các tham số nghiệp vụ: phí khảo sát; thời hạn hủy miễn phí; thời hạn kỹ thuật viên phản hồi; thời gian đệm di chuyển; giờ phục vụ; khu vực phục vụ.
3. Chốt bảng giá ban đầu: tên dịch vụ, đơn giá, thời lượng ước tính, thời hạn bảo hành.
4. Ghi nguồn cho từng con số (quyết định của chủ dịch vụ, tham khảo giá thị trường…).</t>
  </si>
  <si>
    <t>SRS v0.1 mục 3.4 (BR-02 đến BR-07); Phụ lục A.1</t>
  </si>
  <si>
    <t>docs/01-SRS/ChinhSachVanHanh.docx gồm quy trình thực tế, bảng tham số, bảng giá</t>
  </si>
  <si>
    <t>Mọi con số dùng trong BR-02, BR-03, BR-04, BR-06, BR-07 đều có trong tài liệu và có nguồn.</t>
  </si>
  <si>
    <t>BR-02, BR-03, BR-04, BR-06, BR-07; UC19; UC23</t>
  </si>
  <si>
    <t>GĐ2-02</t>
  </si>
  <si>
    <t>Đặc tả use case nhóm điều phối – báo giá – thanh toán</t>
  </si>
  <si>
    <t>1. Đặc tả UC08, UC09, UC10, UC11, UC12, UC13, UC14 theo đúng mẫu ở SRS v0.1 mục 3.5: actor chính/phụ, mô tả, tiền điều kiện, hậu điều kiện, luồng chính, luồng thay thế, ngoại lệ, quy tắc liên quan.
2. Mỗi bước trong luồng chính phải ứng với một bước thật trong quy trình làm việc của dịch vụ; ghi mã bước quy trình (P01, P02…) khi có sơ đồ quy trình của TV3 (GĐ2-07).
3. Ghi rõ trạng thái phiếu trước và sau của mỗi use case, khớp sơ đồ trạng thái SRS mục 3.3.
4. Vẽ sơ đồ hoạt động cho UC08 và UC10.</t>
  </si>
  <si>
    <t>SRS v0.1; tài liệu chính sách vận hành (GĐ2-01)</t>
  </si>
  <si>
    <t>7 bản đặc tả use case + 2 sơ đồ hoạt động, gửi TV3 tổng hợp</t>
  </si>
  <si>
    <t>Đủ 7 use case; mỗi use case có ít nhất 1 luồng thay thế hoặc ngoại lệ; trạng thái phiếu khớp sơ đồ trạng thái.</t>
  </si>
  <si>
    <t>UC08–UC14; BR-01, BR-04, BR-05, BR-06, BR-08, BR-11, BR-13</t>
  </si>
  <si>
    <t>GĐ2-03</t>
  </si>
  <si>
    <t>Đặc tả UC05 và danh mục sự cố cho AI</t>
  </si>
  <si>
    <t>1. Lập danh mục sự cố chính thức (khoảng 8–10 loại): mã, tên, định nghĩa, 3 ví dụ mô tả của khách cho mỗi loại.
2. Ánh xạ mỗi loại sự cố sang dịch vụ mặc định trong bảng giá.
3. Quy định mức khẩn (thấp, trung bình, cao) và tiêu chí xác định từng mức.
4. Cập nhật đặc tả UC05 v1.0 và rà lại NFR-03, NFR-10, NFR-17, NFR-18.</t>
  </si>
  <si>
    <t>Bảng giá (GĐ2-01); SRS v0.1 mục 3.5.2</t>
  </si>
  <si>
    <t>Danh mục sự cố + đặc tả UC05 v1.0</t>
  </si>
  <si>
    <t>Mọi loại sự cố ánh xạ được tới một dịch vụ có trong bảng giá; mỗi loại có đủ 3 ví dụ.</t>
  </si>
  <si>
    <t>UC05; BR-09; NFR-03, NFR-10, NFR-17, NFR-18</t>
  </si>
  <si>
    <t>GĐ2-04</t>
  </si>
  <si>
    <t>Đặc tả use case phân hệ khách hàng</t>
  </si>
  <si>
    <t>1. Đặc tả UC01, UC02, UC03, UC04, UC06, UC07, UC15, UC16, UC17 theo mẫu SRS v0.1 mục 3.5 (UC04 cập nhật từ bản có sẵn).
2. Viết theo góc nhìn của khách: ở từng bước khách làm gì, hệ thống phản hồi gì.
3. Đối chiếu quy tắc: BR-02, BR-03 cho UC04 và UC07; BR-07 cho UC15; BR-10 cho UC16.
4. Ghi rõ ở bước nào hệ thống gửi thông báo, gửi cho ai.
5. Ghi mã bước quy trình (P01, P02…) khi có sơ đồ quy trình của TV3 (GĐ2-07).</t>
  </si>
  <si>
    <t>SRS v0.1</t>
  </si>
  <si>
    <t>9 bản đặc tả use case, gửi TV3 tổng hợp</t>
  </si>
  <si>
    <t>Đủ 9 use case; mỗi use case có luồng thay thế hoặc ngoại lệ; thông báo gửi cho ai ở bước nào được ghi rõ.</t>
  </si>
  <si>
    <t>UC01–UC04, UC06, UC07, UC15–UC17; BR-02, BR-03, BR-07, BR-10</t>
  </si>
  <si>
    <t>GĐ2-05</t>
  </si>
  <si>
    <t>Lập danh sách màn hình và luồng màn hình</t>
  </si>
  <si>
    <t>1. Liệt kê toàn bộ màn hình của 4 vai trò (khách hàng, kỹ thuật viên, điều phối viên, quản trị viên) dựa trên SRS mục 6.1.
2. Với mỗi màn hình ghi: mã màn hình, tên, vai trò sử dụng, use case phục vụ, dữ liệu hiển thị, thao tác chính.
3. Vẽ sơ đồ luồng màn hình cho khách hàng và cho kỹ thuật viên (bấm gì thì chuyển sang màn hình nào).</t>
  </si>
  <si>
    <t>SRS v0.1 mục 3.2, 6.1</t>
  </si>
  <si>
    <t>Bảng màn hình – use case + 2 sơ đồ luồng màn hình</t>
  </si>
  <si>
    <t>Mọi use case có ít nhất một màn hình; không có màn hình nào không phục vụ use case.</t>
  </si>
  <si>
    <t>UC01–UC23; NFR-11</t>
  </si>
  <si>
    <t>GĐ2-06</t>
  </si>
  <si>
    <t>Khảo sát người dùng tiềm năng</t>
  </si>
  <si>
    <t>1. Tạo Google Form từ bộ câu hỏi SRS Phụ lục A.2, bổ sung câu hỏi về mức giá chấp nhận được và kênh nhận thông báo.
2. Thu thập tối thiểu 15 phản hồi từ đúng nhóm khách mục tiêu: sinh viên, hộ gia đình, văn phòng nhỏ.
3. Tổng hợp kết quả bằng bảng và biểu đồ.
4. Rút ra kết luận: yêu cầu nào được khẳng định, yêu cầu nào cần thêm hoặc sửa; ghi các thay đổi vào nhật ký thay đổi yêu cầu (GĐ1-06).</t>
  </si>
  <si>
    <t>SRS v0.1 Phụ lục A.2</t>
  </si>
  <si>
    <t>Link Google Form, file kết quả, báo cáo khảo sát 1–2 trang</t>
  </si>
  <si>
    <t>Có ít nhất 15 phản hồi hợp lệ; mỗi kết luận dẫn chiếu được tới số liệu khảo sát thật.</t>
  </si>
  <si>
    <t>SRS mục 2.1; Phụ lục A.2</t>
  </si>
  <si>
    <t>GĐ2-07</t>
  </si>
  <si>
    <t>Phân tích quy trình thực tế và quy trình mới</t>
  </si>
  <si>
    <t>1. Từ tài liệu chính sách vận hành (GĐ2-01), vẽ quy trình hiện tại (as-is): khách liên hệ qua điện thoại/Zalo → hẹn lịch → đến nhà → báo giá miệng → sửa → thu tiền.
2. Chỉ ra điểm yếu của từng bước (dựa trên SRS mục 2.1 và kết quả khảo sát).
3. Vẽ quy trình mới khi có hệ thống (to-be) bằng sơ đồ hoạt động có làn (swimlane) cho Khách hàng, Điều phối viên, Kỹ thuật viên, Hệ thống; đánh mã từng bước P01, P02…
4. Lập ma trận truy vết: bước quy trình ↔ use case ↔ quy tắc nghiệp vụ.
5. Gửi danh sách mã bước cho TV1, TV2 sớm nhất có thể để gắn vào đặc tả use case.</t>
  </si>
  <si>
    <t>GĐ2-01 phần quy trình thực tế; SRS v0.1</t>
  </si>
  <si>
    <t>Sơ đồ as-is, sơ đồ to-be, ma trận truy vết (đưa vào SRS v1.0)</t>
  </si>
  <si>
    <t>Mọi use case xuất hiện ở ít nhất một bước; bước nào làm ngoài hệ thống được ghi rõ "ngoài hệ thống".</t>
  </si>
  <si>
    <t>UC01–UC23; BR-01–BR-13</t>
  </si>
  <si>
    <t>GĐ2-08</t>
  </si>
  <si>
    <t>Đặc tả use case phân hệ quản trị</t>
  </si>
  <si>
    <t>1. Đặc tả UC18, UC19, UC20, UC21, UC22, UC23 theo mẫu SRS v0.1 mục 3.5.
2. UC21: liệt kê cụ thể từng báo cáo, cách tính từng chỉ số, bộ lọc.
3. UC23: liệt kê từng tham số và giá trị mặc định lấy từ tài liệu chính sách vận hành (GĐ2-01).
4. Ghi mã bước quy trình tương ứng (GĐ2-07).</t>
  </si>
  <si>
    <t>SRS v0.1; GĐ2-01</t>
  </si>
  <si>
    <t>6 bản đặc tả use case</t>
  </si>
  <si>
    <t>Đủ 6 use case; mỗi chỉ số báo cáo có công thức tính rõ ràng.</t>
  </si>
  <si>
    <t>UC18–UC23; BR-13</t>
  </si>
  <si>
    <t>GĐ2-09</t>
  </si>
  <si>
    <t>Tổng hợp SRS v1.0</t>
  </si>
  <si>
    <t>1. Gộp đặc tả use case của 3 người vào SRS (mục 3.5), thống nhất cách viết và thuật ngữ.
2. Thêm mục phân tích quy trình (as-is, to-be, ma trận truy vết) và kết quả khảo sát.
3. Cập nhật danh sách use case, quy tắc nghiệp vụ, NFR theo chính sách vận hành đã chốt và kết quả khảo sát; cập nhật sơ đồ use case nếu có thay đổi.
4. Định dạng: chỉ dùng màu mặc định, mục lục tự động, đánh số bảng và hình.
5. Gửi TV1 review, sửa theo góp ý, đổi phiên bản thành v1.0 và cập nhật nhật ký thay đổi.</t>
  </si>
  <si>
    <t>Kết quả GĐ2-01 đến GĐ2-08</t>
  </si>
  <si>
    <t>SRS_IT_OnSite_v1.0.docx (D5)</t>
  </si>
  <si>
    <t>Đủ đặc tả 23 use case; không mâu thuẫn tên trạng thái, tên thực thể, mã BR giữa các phần.</t>
  </si>
  <si>
    <t>D5</t>
  </si>
  <si>
    <t>GIAI ĐOẠN 3 – THIẾT KẾ HỆ THỐNG (SAD)</t>
  </si>
  <si>
    <t>Hoàn thiện tài liệu phân tích thiết kế (SAD v1.0) và lược đồ CSDL, đủ chi tiết để lập trình mà không phải đoán.</t>
  </si>
  <si>
    <t>GĐ3-01</t>
  </si>
  <si>
    <t>Thiết kế kiến trúc tổng thể</t>
  </si>
  <si>
    <t>1. Vẽ sơ đồ kiến trúc: React (giao diện) – FastAPI (REST API) – PostgreSQL – lưu trữ ảnh – Gemini API – Telegram Bot API – máy chủ email.
2. Vẽ sơ đồ triển khai: các container Docker, máy chủ, tên miền và HTTPS.
3. Quy định cấu trúc thư mục backend theo lớp: api (router), schemas, services (nghiệp vụ), repositories (truy cập dữ liệu), models, core (cấu hình, bảo mật).
4. Quy định chung: xác thực JWT (access token, refresh token), định dạng lỗi trả về, ghi log, cấu hình bằng biến môi trường.</t>
  </si>
  <si>
    <t>SRS v1.0</t>
  </si>
  <si>
    <t>Chương "Kiến trúc hệ thống" trong SAD</t>
  </si>
  <si>
    <t>Mọi hệ thống ngoài trong SRS mục 6.2 có trên sơ đồ; TV2, TV3 đọc xong biết code của mình đặt ở đâu.</t>
  </si>
  <si>
    <t>SRS 2.3, 6.2, 6.3; NFR-05, NFR-06</t>
  </si>
  <si>
    <t>GĐ3-02</t>
  </si>
  <si>
    <t>Thiết kế cơ sở dữ liệu</t>
  </si>
  <si>
    <t>1. Vẽ ERD từ các thực thể ở SRS chương 4.
2. Với mỗi bảng: cột, kiểu dữ liệu, khóa chính, khóa ngoại, ràng buộc unique/check (ví dụ trạng thái phiếu chỉ nhận các giá trị trong sơ đồ trạng thái, số sao từ 1 đến 5), chỉ mục.
3. Thêm cột phiên bản cho bảng phiếu yêu cầu (chống hai người sửa cùng lúc) và cột thời gian tạo/cập nhật cho mọi bảng.
4. Viết script tạo bảng cho PostgreSQL 16 và script dữ liệu mẫu (dịch vụ, khu vực, cấu hình, tài khoản quản trị).
5. Viết từ điển dữ liệu: mô tả từng bảng, từng cột.</t>
  </si>
  <si>
    <t>SRS v1.0 chương 4; tài liệu chính sách vận hành (GĐ2-01)</t>
  </si>
  <si>
    <t>ERD; docs/03-CSDL/schema.sql, seed.sql; từ điển dữ liệu trong SAD (D7)</t>
  </si>
  <si>
    <t>Chạy schema.sql và seed.sql trên PostgreSQL 16 không lỗi; mọi thực thể trong SRS có bảng tương ứng.</t>
  </si>
  <si>
    <t>SRS chương 4; BR-12, BR-13; NFR-07, NFR-08; D7</t>
  </si>
  <si>
    <t>GĐ3-03</t>
  </si>
  <si>
    <t>Thiết kế API</t>
  </si>
  <si>
    <t>1. Liệt kê endpoint cho từng use case: phương thức, đường dẫn, vai trò được gọi, dữ liệu gửi lên, dữ liệu trả về, mã lỗi.
2. Thống nhất quy ước: tiền tố /api/v1, phân trang, lọc, sắp xếp, định dạng lỗi chung.
3. Viết thành file OpenAPI để TV2 làm giao diện và TV3 làm các module phụ theo cùng một hợp đồng.</t>
  </si>
  <si>
    <t>SRS v1.0; thiết kế CSDL (GĐ3-02)</t>
  </si>
  <si>
    <t>docs/02-SAD/openapi.yaml + bảng tổng hợp endpoint trong SAD</t>
  </si>
  <si>
    <t>Mọi use case có endpoint; mỗi endpoint ghi rõ vai trò được phép gọi.</t>
  </si>
  <si>
    <t>UC01–UC23; NFR-05, NFR-16</t>
  </si>
  <si>
    <t>GĐ3-04</t>
  </si>
  <si>
    <t>Thiết kế module AI phân loại sự cố</t>
  </si>
  <si>
    <t>1. Viết prompt cho Gemini dùng danh mục sự cố (GĐ2-03), yêu cầu trả về JSON theo lược đồ cố định: loại sự cố, độ tin cậy, mức khẩn, lý do ngắn.
2. Thiết kế bộ lọc dữ liệu cá nhân trước khi gửi (số điện thoại, email, địa chỉ, mật khẩu).
3. Thiết kế xử lý lỗi: quá 10 giây thì bỏ qua; JSON sai thì gửi lại 1 lần; độ tin cậy dưới 0,6 thì đánh dấu cần điều phối viên xác nhận.
4. Thiết kế cách lưu kết quả (bảng KetQuaAI, phiên bản prompt) và phương pháp đánh giá độ chính xác.</t>
  </si>
  <si>
    <t>Danh mục sự cố (GĐ2-03); đặc tả UC05</t>
  </si>
  <si>
    <t>Chương "Thiết kế module AI" trong SAD</t>
  </si>
  <si>
    <t>Có đủ prompt, lược đồ JSON, quy tắc lọc dữ liệu và cách xử lý từng loại lỗi.</t>
  </si>
  <si>
    <t>GĐ3-05</t>
  </si>
  <si>
    <t>Wireframe toàn bộ màn hình</t>
  </si>
  <si>
    <t>1. Dựa trên bảng màn hình (GĐ2-05), vẽ wireframe trên Figma cho tất cả màn hình.
2. Khách hàng và kỹ thuật viên: thiết kế cho điện thoại, chiều rộng 360 px.
3. Điều phối viên và quản trị viên: thiết kế cho máy tính.
4. Gắn mã màn hình và mã use case lên từng khung.</t>
  </si>
  <si>
    <t>Bảng màn hình và luồng màn hình (GĐ2-05)</t>
  </si>
  <si>
    <t>Link Figma; ảnh wireframe đưa vào SAD</t>
  </si>
  <si>
    <t>Đủ mọi màn hình trong bảng màn hình; mỗi khung có mã màn hình và mã use case.</t>
  </si>
  <si>
    <t>UC01–UC23; NFR-11, NFR-12</t>
  </si>
  <si>
    <t>GĐ3-06</t>
  </si>
  <si>
    <t>Mockup chi tiết màn hình chính và bộ thành phần giao diện</t>
  </si>
  <si>
    <t>1. Thiết kế mockup hoàn chỉnh cho các màn hình chính: tạo yêu cầu (nhiều bước), chi tiết phiếu (dòng thời gian trạng thái), duyệt báo giá, thanh toán VietQR, lịch việc của kỹ thuật viên, lập báo giá, bảng điều phối.
2. Xây bộ thành phần dùng chung: nút, ô nhập, bảng, thẻ trạng thái phiếu, thông báo lỗi, hộp xác nhận.
3. Thể hiện đủ các trạng thái của màn hình: đang tải, không có dữ liệu, lỗi.</t>
  </si>
  <si>
    <t>Wireframe (GĐ3-05)</t>
  </si>
  <si>
    <t>Mockup trên Figma; ảnh đưa vào SAD</t>
  </si>
  <si>
    <t>7 màn hình chính có mockup đủ 3 trạng thái: đang tải, không có dữ liệu, lỗi.</t>
  </si>
  <si>
    <t>UC04, UC06, UC08, UC10, UC11, UC12, UC14</t>
  </si>
  <si>
    <t>GĐ3-07</t>
  </si>
  <si>
    <t>Thiết kế phía giao diện (frontend)</t>
  </si>
  <si>
    <t>1. Quy định cấu trúc thư mục React: pages, components, services (gọi API), hooks, routes.
2. Thiết kế phân quyền trên giao diện: điều hướng theo vai trò sau khi đăng nhập, chặn truy cập trang không đúng vai trò.
3. Thiết kế cách lưu và làm mới token, xử lý khi hết phiên đăng nhập.
4. Quy định kiểm tra dữ liệu trên form và cách hiển thị lỗi trả về từ API.</t>
  </si>
  <si>
    <t>Kiến trúc tổng thể (GĐ3-01)</t>
  </si>
  <si>
    <t>Chương "Thiết kế giao diện" trong SAD</t>
  </si>
  <si>
    <t>Có sơ đồ điều hướng theo vai trò và quy ước thư mục rõ ràng.</t>
  </si>
  <si>
    <t>NFR-05, NFR-11</t>
  </si>
  <si>
    <t>GĐ3-08</t>
  </si>
  <si>
    <t>Sơ đồ hoạt động cho use case phân hệ khách hàng</t>
  </si>
  <si>
    <t>1. Vẽ sơ đồ hoạt động cho UC04, UC07, UC15, UC16, thể hiện đủ các nhánh rẽ (ví dụ hủy trước hoặc sau mốc thời gian ở UC07, còn hoặc hết hạn bảo hành ở UC15).
2. Mỗi sơ đồ dựa trên đặc tả use case đã làm ở GĐ2-04 và quy trình to-be (GĐ2-07).</t>
  </si>
  <si>
    <t>Đặc tả use case (GĐ2-04); quy trình to-be (GĐ2-07)</t>
  </si>
  <si>
    <t>4 sơ đồ hoạt động, gửi TV3 đưa vào SAD</t>
  </si>
  <si>
    <t>Mỗi nhánh rẽ trong sơ đồ ứng với một luồng thay thế hoặc ngoại lệ trong đặc tả.</t>
  </si>
  <si>
    <t>UC04, UC07, UC15, UC16; BR-03, BR-07, BR-10</t>
  </si>
  <si>
    <t>GĐ3-09</t>
  </si>
  <si>
    <t>Sơ đồ lớp (mô hình miền)</t>
  </si>
  <si>
    <t>1. Vẽ sơ đồ lớp mức phân tích từ các thực thể và quy tắc nghiệp vụ: lớp, thuộc tính chính, quan hệ, bội số.
2. Thể hiện các phương thức nghiệp vụ quan trọng (ví dụ chuyển trạng thái phiếu, duyệt báo giá, kiểm tra bảo hành).
3. Cập nhật sơ đồ trạng thái phiếu nếu SRS v1.0 có thay đổi.
4. Đối chiếu với ERD (GĐ3-02), ghi lại và thống nhất với TV1 các điểm khác biệt.</t>
  </si>
  <si>
    <t>Sơ đồ lớp + sơ đồ trạng thái phiếu, đưa vào SAD</t>
  </si>
  <si>
    <t>Tên lớp và thuộc tính khớp với ERD và từ điển dữ liệu.</t>
  </si>
  <si>
    <t>SRS mục 3.3, chương 4</t>
  </si>
  <si>
    <t>GĐ3-10</t>
  </si>
  <si>
    <t>Sơ đồ tuần tự cho các use case chính</t>
  </si>
  <si>
    <t>1. Vẽ sơ đồ tuần tự cho UC04 (gồm UC05), UC08, UC10, UC11, UC12, UC14.
2. Mỗi sơ đồ đi qua đủ các lớp: người dùng → giao diện → API → nghiệp vụ → CSDL hoặc hệ thống ngoài (Gemini, Telegram).
3. Thể hiện nhánh lỗi chính (ví dụ AI quá thời gian chờ, hai điều phối viên phân công cùng lúc).</t>
  </si>
  <si>
    <t>SRS v1.0; kiến trúc tổng thể (GĐ3-01)</t>
  </si>
  <si>
    <t>6 sơ đồ tuần tự, đưa vào SAD</t>
  </si>
  <si>
    <t>Mỗi sơ đồ khớp luồng chính của đặc tả use case tương ứng.</t>
  </si>
  <si>
    <t>UC04, UC05, UC08, UC10, UC11, UC12, UC14</t>
  </si>
  <si>
    <t>GĐ3-11</t>
  </si>
  <si>
    <t>Tổng hợp tài liệu SAD v1.0</t>
  </si>
  <si>
    <t>1. Gộp các phần của 3 người theo cấu trúc: giới thiệu; kiến trúc; thiết kế dữ liệu; thiết kế API; thiết kế giao diện; sơ đồ UML (lớp, tuần tự, hoạt động, trạng thái); thiết kế module AI; bảo mật và bảo vệ dữ liệu cá nhân.
2. Định dạng: chỉ dùng màu mặc định, mục lục tự động, đánh số bảng và hình.
3. Kiểm tra nhất quán: tên thực thể, tên trạng thái, mã use case giống nhau giữa SRS, ERD, sơ đồ lớp và API.
4. Gửi TV1 review và chốt phiên bản v1.0.</t>
  </si>
  <si>
    <t>Kết quả GĐ3-01 đến GĐ3-10</t>
  </si>
  <si>
    <t>SAD_IT_OnSite_v1.0.docx (D6)</t>
  </si>
  <si>
    <t>Đủ các chương nêu ở bước 1; không có mâu thuẫn tên gọi giữa các tài liệu.</t>
  </si>
  <si>
    <t>D6</t>
  </si>
  <si>
    <t>GIAI ĐOẠN 4 – LẬP TRÌNH</t>
  </si>
  <si>
    <t>Hiện thực hệ thống chạy thật theo SRS v1.0 và SAD v1.0. Mỗi công việc làm trên nhánh feature/&lt;mã công việc&gt;, gộp vào develop qua Pull Request có review và có kiểm thử tự động.</t>
  </si>
  <si>
    <t>GĐ4-01</t>
  </si>
  <si>
    <t>Khung dự án backend và hạ tầng chạy chung</t>
  </si>
  <si>
    <t>1. Tạo dự án FastAPI theo cấu trúc lớp đã thiết kế (GĐ3-01); dùng SQLAlchemy 2 và Alembic; tạo migration đầu tiên từ lược đồ GĐ3-02.
2. Cấu hình bằng biến môi trường, có file .env.example.
3. docker-compose chạy cùng lúc: PostgreSQL, backend, frontend.
4. GitHub Actions: chạy kiểm tra mã (ruff) và kiểm thử (pytest) cho mọi Pull Request.
5. Endpoint /health và trang tài liệu API tự động /docs.</t>
  </si>
  <si>
    <t>SAD v1.0; schema.sql (GĐ3-02)</t>
  </si>
  <si>
    <t>Thư mục backend/ và infra/ chạy được</t>
  </si>
  <si>
    <t>Thành viên mới chỉ cần chạy docker compose up là có hệ thống chạy; CI chạy thành công trên Pull Request.</t>
  </si>
  <si>
    <t>NFR-15, NFR-16</t>
  </si>
  <si>
    <t>GĐ4-02</t>
  </si>
  <si>
    <t>Đăng ký, đăng nhập và phân quyền</t>
  </si>
  <si>
    <t>1. Đăng ký bằng email hoặc số điện thoại kèm đồng ý xử lý dữ liệu cá nhân; đăng nhập; làm mới token; quên mật khẩu qua email.
2. Băm mật khẩu bằng bcrypt hoặc Argon2; khóa tạm khi đăng nhập sai nhiều lần.
3. Phân quyền theo 4 vai trò, một tài khoản có thể giữ nhiều vai trò; kiểm tra quyền ở mọi endpoint.
4. Quản trị viên tạo tài khoản nội bộ, gán vai trò, khóa tài khoản (UC22).
5. Ghi nhật ký hệ thống khi thay đổi phân quyền.
6. Viết kiểm thử tự động cho đăng nhập và phân quyền.</t>
  </si>
  <si>
    <t>Khung backend (GĐ4-01); openapi.yaml</t>
  </si>
  <si>
    <t>Module xác thực và phân quyền</t>
  </si>
  <si>
    <t>Gọi API trái quyền đều bị từ chối (mã 403); không có mật khẩu dạng rõ trong CSDL.</t>
  </si>
  <si>
    <t>UC01, UC22; NFR-04, NFR-05, NFR-06, NFR-08, NFR-10</t>
  </si>
  <si>
    <t>GĐ4-03</t>
  </si>
  <si>
    <t>Phiếu yêu cầu và máy trạng thái</t>
  </si>
  <si>
    <t>1. API tạo phiếu (UC04): kiểm tra dữ liệu, tải ảnh (tối đa 5, kiểm tra định dạng và dung lượng), lưu đồng ý điều khoản.
2. API danh sách và chi tiết phiếu theo vai trò (UC06): khách chỉ thấy phiếu của mình, kỹ thuật viên chỉ thấy phiếu được giao.
3. Một hàm chuyển trạng thái dùng chung cho toàn hệ thống: chỉ cho phép các chuyển đổi có trong sơ đồ trạng thái, ghi lịch sử trạng thái, phát sự kiện để gửi thông báo.
4. Hủy và đổi lịch hẹn theo BR-03 (UC07).
5. Chống hai người cập nhật cùng lúc bằng cột phiên bản.
6. Viết kiểm thử tự động cho mọi chuyển trạng thái hợp lệ và không hợp lệ.
7. Viết hướng dẫn dùng hàm chuyển trạng thái để TV3 gọi trong module thanh toán, thông báo.</t>
  </si>
  <si>
    <t>Khung backend (GĐ4-01); sơ đồ trạng thái phiếu</t>
  </si>
  <si>
    <t>Module phiếu yêu cầu; tài liệu hàm chuyển trạng thái</t>
  </si>
  <si>
    <t>Chuyển trạng thái sai quy trình luôn bị từ chối; mọi lần chuyển đều có một dòng lịch sử.</t>
  </si>
  <si>
    <t>UC04, UC06, UC07; BR-03; NFR-08</t>
  </si>
  <si>
    <t>GĐ4-04</t>
  </si>
  <si>
    <t>Điều phối và phân công kỹ thuật viên</t>
  </si>
  <si>
    <t>1. API danh sách phiếu chờ cho điều phối viên, sắp xếp theo mức khẩn và thời gian tạo.
2. Gợi ý kỹ thuật viên theo thứ tự ở BR-05; loại kỹ thuật viên trùng lịch theo BR-04.
3. Phân công, nhận việc, từ chối việc (UC08, UC09).
4. Tác vụ chạy nền tự thu hồi phân công khi kỹ thuật viên quá hạn phản hồi (BR-06) và cảnh báo điều phối viên.
5. Viết kiểm thử tự động cho gợi ý, trùng lịch và quá hạn.</t>
  </si>
  <si>
    <t>Module phiếu (GĐ4-03); danh mục kỹ thuật viên (GĐ4-12)</t>
  </si>
  <si>
    <t>Module điều phối</t>
  </si>
  <si>
    <t>Không thể phân công một kỹ thuật viên vào hai lịch chồng nhau; phân công quá hạn được thu hồi đúng thời hạn cấu hình.</t>
  </si>
  <si>
    <t>UC08, UC09; BR-04, BR-05, BR-06</t>
  </si>
  <si>
    <t>GĐ4-05</t>
  </si>
  <si>
    <t>Báo giá, thực hiện và nghiệm thu</t>
  </si>
  <si>
    <t>1. Kỹ thuật viên check-in, lập báo giá từ bảng giá và linh kiện; lập báo giá bổ sung khi phát sinh (UC10, UC12).
2. Đơn giá được cố định tại thời điểm lập báo giá (BR-13).
3. Khách duyệt toàn bộ, một phần hoặc từ chối; xác nhận tại chỗ bằng mã gửi qua Telegram hoặc email (UC11).
4. Tải ảnh trước và sau; chỉ được báo hoàn thành khi đủ ảnh (BR-11).
5. Khách nghiệm thu đạt hoặc không đạt kèm lý do (UC13).
6. Viết kiểm thử tự động cho BR-01, BR-02, BR-11, BR-13.</t>
  </si>
  <si>
    <t>Module phiếu (GĐ4-03); danh mục dịch vụ (GĐ4-12)</t>
  </si>
  <si>
    <t>Module báo giá và nghiệm thu</t>
  </si>
  <si>
    <t>Không thể thực hiện hạng mục chưa được duyệt; đổi bảng giá không làm thay đổi báo giá đã lập.</t>
  </si>
  <si>
    <t>UC10–UC13; BR-01, BR-02, BR-11, BR-13</t>
  </si>
  <si>
    <t>GĐ4-06</t>
  </si>
  <si>
    <t>Tích hợp AI phân loại sự cố</t>
  </si>
  <si>
    <t>1. Gọi Gemini API theo prompt và lược đồ JSON đã thiết kế (GĐ3-04); khóa API lấy từ biến môi trường.
2. Lọc dữ liệu cá nhân trước khi gửi.
3. Quá 10 giây hoặc lỗi: bỏ qua gợi ý, không chặn việc tạo phiếu; JSON sai: gửi lại 1 lần.
4. Ánh xạ loại sự cố sang dịch vụ, giá lấy từ CSDL (BR-09); lưu kết quả và phiên bản prompt.
5. Kiểm thử bằng cách giả lập API trả chậm và trả sai định dạng.</t>
  </si>
  <si>
    <t>Thiết kế module AI (GĐ3-04); module phiếu (GĐ4-03)</t>
  </si>
  <si>
    <t>Module AI</t>
  </si>
  <si>
    <t>Khi Gemini lỗi, khách vẫn tạo được phiếu; dữ liệu gửi đi không chứa số điện thoại, email.</t>
  </si>
  <si>
    <t>UC05; BR-09; NFR-03, NFR-10, NFR-18</t>
  </si>
  <si>
    <t>GĐ4-07</t>
  </si>
  <si>
    <t>Bản demo và báo cáo giữa kỳ</t>
  </si>
  <si>
    <t>1. Chuẩn bị dữ liệu mẫu và kịch bản demo luồng: khách tạo yêu cầu → AI phân loại → điều phối viên phân công → kỹ thuật viên báo giá → khách duyệt.
2. Triển khai bản chạy thử lên máy chủ để demo không phụ thuộc máy cá nhân.
3. Làm slide báo cáo giữa kỳ: tiến độ theo file này, tài liệu đã hoàn thành, phần đã chạy được, kế hoạch tiếp theo.
4. Tổng hợp bộ kết quả giữa kỳ (SRS v1.0, SAD v1.0, lược đồ CSDL, link repository) và nộp.</t>
  </si>
  <si>
    <t>SRS v1.0; SAD v1.0; các module đã gộp vào develop</t>
  </si>
  <si>
    <t>Bản demo giữa kỳ (D8), slide, bộ kết quả giữa kỳ đã nộp</t>
  </si>
  <si>
    <t>Luồng demo chạy liền mạch trên bản triển khai thử.</t>
  </si>
  <si>
    <t>D5, D6, D7, D8</t>
  </si>
  <si>
    <t>GĐ4-08</t>
  </si>
  <si>
    <t>Khung giao diện và đăng nhập</t>
  </si>
  <si>
    <t>1. Tạo dự án React (Vite) theo cấu trúc đã thiết kế (GĐ3-07).
2. Lớp gọi API dùng chung: gắn token, tự làm mới token, xử lý lỗi chung.
3. Điều hướng theo vai trò sau khi đăng nhập; chặn trang không đúng vai trò.
4. Màn hình đăng ký, đăng nhập, quên mật khẩu, hồ sơ cá nhân.
5. Bộ thành phần giao diện dùng chung theo mockup (GĐ3-06) để cả nhóm dùng.</t>
  </si>
  <si>
    <t>Mockup (GĐ3-06); openapi.yaml (GĐ3-03)</t>
  </si>
  <si>
    <t>Thư mục frontend/ chạy được, đăng nhập được với 4 vai trò</t>
  </si>
  <si>
    <t>Mỗi vai trò đăng nhập vào đúng trang của mình; giao diện hiển thị tốt ở chiều rộng 360 px.</t>
  </si>
  <si>
    <t>UC01, UC02; NFR-05, NFR-11</t>
  </si>
  <si>
    <t>GĐ4-09</t>
  </si>
  <si>
    <t>Giao diện khách hàng</t>
  </si>
  <si>
    <t>1. Trang chủ và bảng giá (UC03); quản lý thiết bị (UC02).
2. Tạo yêu cầu nhiều bước: chọn thiết bị → mô tả và ảnh → gợi ý AI → địa chỉ, khung giờ → phí khảo sát, chính sách hủy, đồng ý điều khoản → gửi (UC04, UC05).
3. Danh sách và chi tiết phiếu với dòng thời gian trạng thái; hủy hoặc đổi lịch (UC06, UC07).
4. Xem và duyệt báo giá; nghiệm thu (UC11, UC13).
5. Thanh toán hiển thị mã VietQR (UC14); bảo hành; đánh giá (UC15, UC16).</t>
  </si>
  <si>
    <t>Khung giao diện (GĐ4-08); API tương ứng</t>
  </si>
  <si>
    <t>Toàn bộ màn hình phía khách hàng</t>
  </si>
  <si>
    <t>Một khách mới tạo được yêu cầu trong không quá 3 phút; mọi màn hình có trạng thái đang tải, không có dữ liệu, lỗi.</t>
  </si>
  <si>
    <t>UC02–UC07, UC11, UC13–UC16; NFR-11, NFR-12</t>
  </si>
  <si>
    <t>GĐ4-10</t>
  </si>
  <si>
    <t>Giao diện kỹ thuật viên trên điện thoại</t>
  </si>
  <si>
    <t>1. Lịch việc trong ngày; nhận hoặc từ chối việc, hiển thị thời gian còn lại để phản hồi (UC09).
2. Chi tiết việc: địa chỉ, mô tả, ảnh, gợi ý AI; nút check-in.
3. Lập báo giá từ bảng giá và linh kiện; báo giá bổ sung (UC10).
4. Cập nhật tiến độ, chụp hoặc tải ảnh trước và sau, báo hoàn thành (UC12).
5. Xác nhận đã thu tiền mặt (UC14).</t>
  </si>
  <si>
    <t>Toàn bộ màn hình phía kỹ thuật viên</t>
  </si>
  <si>
    <t>Thực hiện trọn một việc từ nhận việc tới thu tiền chỉ bằng điện thoại.</t>
  </si>
  <si>
    <t>UC09, UC10, UC12, UC14; BR-06, BR-11; NFR-11</t>
  </si>
  <si>
    <t>GĐ4-11</t>
  </si>
  <si>
    <t>Giao diện điều phối viên</t>
  </si>
  <si>
    <t>1. Bảng điều phối: phiếu chờ theo mức khẩn, lịch kỹ thuật viên trong ngày.
2. Chi tiết phiếu kèm kết quả AI; xác nhận hoặc sửa loại sự cố; phân công theo danh sách gợi ý (UC05, UC08).
3. Đối soát thanh toán chuyển khoản (UC14).
4. Xử lý yêu cầu bảo hành (UC15).
5. Hiển thị cảnh báo kỹ thuật viên quá hạn phản hồi và thông báo xung đột khi hai người phân công cùng lúc.</t>
  </si>
  <si>
    <t>Toàn bộ màn hình phía điều phối viên</t>
  </si>
  <si>
    <t>Thấy phiếu mới và phân công được ngay trên bảng điều phối; xung đột phân công được báo rõ cho người thao tác sau.</t>
  </si>
  <si>
    <t>UC05, UC08, UC14, UC15; BR-04, BR-05, BR-06</t>
  </si>
  <si>
    <t>GĐ4-12</t>
  </si>
  <si>
    <t>Danh mục và cấu hình (backend)</t>
  </si>
  <si>
    <t>1. API quản lý dịch vụ và bảng giá (UC19): thêm, sửa, ngừng dùng; không xóa dịch vụ đã dùng trong báo giá.
2. API quản lý kỹ thuật viên (UC18): kỹ năng, khu vực phụ trách, lịch làm việc; khóa kỹ thuật viên.
3. API quản lý khu vực, linh kiện (UC20) và tham số cấu hình (UC23).
4. Chỉ quản trị viên được gọi; ghi nhật ký hệ thống khi đổi bảng giá và cấu hình.
5. Viết kiểm thử tự động cho từng API.</t>
  </si>
  <si>
    <t>Module danh mục và cấu hình</t>
  </si>
  <si>
    <t>Đổi tham số cấu hình có hiệu lực ngay, không cần sửa code.</t>
  </si>
  <si>
    <t>UC18, UC19, UC20, UC23; BR-13; NFR-08</t>
  </si>
  <si>
    <t>GĐ4-13</t>
  </si>
  <si>
    <t>Thanh toán</t>
  </si>
  <si>
    <t>1. Tạo bản ghi thanh toán khi phiếu sang Chờ thanh toán; số tiền bằng tổng báo giá đã duyệt hoặc phí khảo sát.
2. Sinh mã VietQR theo chuẩn: số tài khoản, số tiền, nội dung là mã phiếu.
3. Kỹ thuật viên xác nhận tiền mặt; điều phối viên xác nhận chuyển khoản và đối soát.
4. Chuyển phiếu sang Hoàn tất bằng hàm chuyển trạng thái của GĐ4-03 (BR-08).
5. Viết kiểm thử tự động cho cách tính số tiền.</t>
  </si>
  <si>
    <t>Hàm chuyển trạng thái (GĐ4-03)</t>
  </si>
  <si>
    <t>Module thanh toán</t>
  </si>
  <si>
    <t>Số tiền thanh toán luôn khớp báo giá đã duyệt; mã QR quét được bằng ứng dụng ngân hàng.</t>
  </si>
  <si>
    <t>UC14; BR-02, BR-08</t>
  </si>
  <si>
    <t>GĐ4-14</t>
  </si>
  <si>
    <t>Bảo hành và đánh giá</t>
  </si>
  <si>
    <t>1. Tự phát hành phiếu bảo hành cho từng hạng mục khi phiếu hoàn tất; hạn tính từ ngày nghiệm thu (BR-07).
2. Khách gửi yêu cầu bảo hành; kiểm tra còn hạn, đúng thiết bị, đúng hạng mục; yêu cầu hợp lệ tạo phiếu mới không tính phí (UC15).
3. Đánh giá 1 lần cho mỗi phiếu trong 7 ngày; từ 2 sao trở xuống bắt buộc nhập lý do và cảnh báo quản trị viên (UC16, BR-10).
4. Viết kiểm thử tự động cho BR-07 và BR-10.</t>
  </si>
  <si>
    <t>Module phiếu (GĐ4-03)</t>
  </si>
  <si>
    <t>Module bảo hành và đánh giá</t>
  </si>
  <si>
    <t>Yêu cầu bảo hành hết hạn hoặc sai hạng mục đều bị từ chối kèm lý do.</t>
  </si>
  <si>
    <t>UC15, UC16; BR-07, BR-10</t>
  </si>
  <si>
    <t>GĐ4-15</t>
  </si>
  <si>
    <t>Thông báo Telegram, email và trên web</t>
  </si>
  <si>
    <t>1. Bot Telegram: người dùng gửi /start kèm mã liên kết để gắn tài khoản; nhận cập nhật qua webhook.
2. Gửi email qua SMTP: xác nhận đăng ký, đặt lại mật khẩu, thông báo trạng thái.
3. Lắng nghe sự kiện chuyển trạng thái phiếu (GĐ4-03) để gửi đúng người nhận.
4. Hàng đợi gửi lại tối đa 3 lần khi lỗi; lỗi gửi không làm hỏng giao dịch chính.
5. Thông báo trong web: danh sách thông báo, đánh dấu đã đọc.</t>
  </si>
  <si>
    <t>Sự kiện chuyển trạng thái (GĐ4-03)</t>
  </si>
  <si>
    <t>Module thông báo</t>
  </si>
  <si>
    <t>Mỗi lần đổi trạng thái phiếu, đúng người liên quan nhận thông báo; giả lập Telegram lỗi thì hệ thống vẫn chạy bình thường.</t>
  </si>
  <si>
    <t>UC17; NFR-14</t>
  </si>
  <si>
    <t>GĐ4-16</t>
  </si>
  <si>
    <t>Báo cáo thống kê (backend)</t>
  </si>
  <si>
    <t>1. API báo cáo: doanh thu theo ngày/tháng, số phiếu theo trạng thái, theo loại sự cố, thời gian xử lý trung bình, điểm đánh giá trung bình theo kỹ thuật viên.
2. Lọc theo khoảng thời gian.
3. Xuất báo cáo ra Excel (mức có thể có).
4. Kiểm thử số liệu báo cáo trên bộ dữ liệu mẫu đã biết trước kết quả.</t>
  </si>
  <si>
    <t>Đặc tả UC21 (GĐ2-08); dữ liệu các module</t>
  </si>
  <si>
    <t>Module báo cáo</t>
  </si>
  <si>
    <t>Số liệu báo cáo khớp với kết quả tính tay trên dữ liệu mẫu.</t>
  </si>
  <si>
    <t>UC21</t>
  </si>
  <si>
    <t>GĐ4-17</t>
  </si>
  <si>
    <t>Giao diện quản trị viên</t>
  </si>
  <si>
    <t>1. Màn hình quản lý kỹ thuật viên, dịch vụ và bảng giá, linh kiện, khu vực.
2. Quản lý tài khoản và phân quyền (UC22); cấu hình tham số (UC23).
3. Màn hình báo cáo thống kê có biểu đồ (UC21).
4. Dùng khung giao diện và bộ thành phần chung của GĐ4-08.</t>
  </si>
  <si>
    <t>Khung giao diện (GĐ4-08); API danh mục, báo cáo</t>
  </si>
  <si>
    <t>Toàn bộ màn hình phía quản trị viên</t>
  </si>
  <si>
    <t>Quản trị viên làm được mọi thao tác quản trị mà không cần truy cập trực tiếp CSDL.</t>
  </si>
  <si>
    <t>UC18–UC23</t>
  </si>
  <si>
    <t>GIAI ĐOẠN 5 – KIỂM THỬ</t>
  </si>
  <si>
    <t>Kiểm chứng hệ thống đáp ứng use case, quy tắc nghiệp vụ và yêu cầu phi chức năng.</t>
  </si>
  <si>
    <t>GĐ5-01</t>
  </si>
  <si>
    <t>Kiểm thử tự động backend lõi</t>
  </si>
  <si>
    <t>1. Bổ sung kiểm thử đơn vị và tích hợp cho xác thực, máy trạng thái, phân công, báo giá, AI.
2. Dùng CSDL kiểm thử riêng, dữ liệu được tạo lại mỗi lần chạy.
3. Đo độ bao phủ, bổ sung tới khi tầng nghiệp vụ đạt từ 60% trở lên.</t>
  </si>
  <si>
    <t>Các module GĐ4-01 đến GĐ4-06</t>
  </si>
  <si>
    <t>Bộ kiểm thử + báo cáo độ bao phủ</t>
  </si>
  <si>
    <t>CI chạy thành công; độ bao phủ tầng nghiệp vụ từ 60% trở lên.</t>
  </si>
  <si>
    <t>NFR-15</t>
  </si>
  <si>
    <t>GĐ5-02</t>
  </si>
  <si>
    <t>Kiểm thử bảo mật và hiệu năng</t>
  </si>
  <si>
    <t>1. Thử truy cập trái quyền với từng vai trò trên toàn bộ endpoint.
2. Thử các lỗi phổ biến trong OWASP Top 10: SQL injection, XSS, lộ dữ liệu qua API; kiểm tra khóa đăng nhập khi sai nhiều lần.
3. Kiểm thử tải bằng k6 hoặc Locust với 50 người dùng đồng thời; đo thời gian phản hồi.
4. Ghi lỗi lên GitHub Issues và sửa.</t>
  </si>
  <si>
    <t>Bản triển khai thử</t>
  </si>
  <si>
    <t>Báo cáo kiểm thử bảo mật và hiệu năng</t>
  </si>
  <si>
    <t>Đạt NFR-01; không còn lỗi bảo mật mức nghiêm trọng.</t>
  </si>
  <si>
    <t>NFR-01, NFR-05, NFR-06, NFR-09</t>
  </si>
  <si>
    <t>GĐ5-03</t>
  </si>
  <si>
    <t>Kiểm thử giao diện tự động (end-to-end)</t>
  </si>
  <si>
    <t>1. Viết kịch bản Playwright cho 3 luồng: khách tạo yêu cầu → duyệt báo giá → thanh toán; kỹ thuật viên nhận việc → báo giá → hoàn thành; điều phối viên phân công.
2. Chạy trên kích thước màn hình máy tính và điện thoại.
3. Đưa vào CI nếu thời gian cho phép.</t>
  </si>
  <si>
    <t>Toàn bộ giao diện (GĐ4-08 đến GĐ4-11)</t>
  </si>
  <si>
    <t>Bộ kiểm thử end-to-end</t>
  </si>
  <si>
    <t>3 luồng chạy tự động thành công liên tiếp.</t>
  </si>
  <si>
    <t>UC04, UC08–UC14</t>
  </si>
  <si>
    <t>GĐ5-04</t>
  </si>
  <si>
    <t>Kiểm thử trên thiết bị thật và sửa lỗi giao diện</t>
  </si>
  <si>
    <t>1. Kiểm thử trên Android, iPhone, laptop; màn hình rộng 360 px.
2. Nhờ 3–5 người chưa dùng hệ thống tạo yêu cầu, bấm giờ từng người.
3. Ghi lỗi giao diện lên GitHub Issues và sửa.</t>
  </si>
  <si>
    <t>Biên bản kiểm thử trên thiết bị</t>
  </si>
  <si>
    <t>Đạt NFR-11, NFR-12; không còn lỗi hiển thị trên các thiết bị đã thử.</t>
  </si>
  <si>
    <t>NFR-11, NFR-12</t>
  </si>
  <si>
    <t>GĐ5-05</t>
  </si>
  <si>
    <t>Kế hoạch kiểm thử và bộ test case</t>
  </si>
  <si>
    <t>1. Viết kế hoạch kiểm thử: phạm vi, loại kiểm thử, môi trường, tiêu chí đạt, phân công.
2. Viết test case từ use case: mỗi use case có test case cho luồng chính, luồng thay thế, ngoại lệ.
3. Mỗi quy tắc nghiệp vụ có ít nhất 1 test case.
4. Lập ma trận truy vết: use case / quy tắc nghiệp vụ ↔ test case.</t>
  </si>
  <si>
    <t>KeHoachKiemThu.docx + bộ test case (Excel)</t>
  </si>
  <si>
    <t>Mọi use case và mọi quy tắc nghiệp vụ trong SRS v1.0 đều có test case.</t>
  </si>
  <si>
    <t>GĐ5-06</t>
  </si>
  <si>
    <t>Đánh giá độ chính xác AI</t>
  </si>
  <si>
    <t>1. Thu thập ít nhất 60 mô tả sự cố thật (từ khảo sát, câu hỏi trên diễn đàn và nhóm hỏi đáp máy tính), bỏ thông tin cá nhân.
2. Gán nhãn loại sự cố đúng theo danh mục (GĐ2-03).
3. Chạy toàn bộ mô tả qua module AI; tính tỷ lệ đúng và ma trận nhầm lẫn.
4. So sánh với mục tiêu NFR-17; nếu chưa đạt, gửi TV1 các trường hợp sai để chỉnh prompt.</t>
  </si>
  <si>
    <t>Danh mục sự cố (GĐ2-03); module AI (GĐ4-06)</t>
  </si>
  <si>
    <t>Bộ dữ liệu gán nhãn + báo cáo đánh giá AI</t>
  </si>
  <si>
    <t>Có ít nhất 60 mô tả có nhãn; báo cáo có tỷ lệ đúng theo từng loại sự cố.</t>
  </si>
  <si>
    <t>UC05; NFR-17</t>
  </si>
  <si>
    <t>GĐ5-07</t>
  </si>
  <si>
    <t>Kiểm thử hệ thống và kiểm thử chấp nhận (UAT)</t>
  </si>
  <si>
    <t>1. Chạy toàn bộ test case trên bản triển khai thử; ghi kết quả đạt hoặc không đạt.
2. Ghi lỗi lên GitHub Issues: mức độ, bước tái hiện, kết quả mong đợi, ảnh chụp; kiểm tra lại sau khi sửa.
3. Tổ chức UAT với chủ dịch vụ và 3–5 người dùng, chạy theo quy trình thực tế từ đầu tới cuối.
4. Lập biên bản UAT.</t>
  </si>
  <si>
    <t>Bộ test case (GĐ5-05); bản triển khai thử</t>
  </si>
  <si>
    <t>Kết quả chạy test case, danh sách lỗi, biên bản UAT</t>
  </si>
  <si>
    <t>Không còn lỗi mức nghiêm trọng; người dùng UAT hoàn thành được trọn quy trình.</t>
  </si>
  <si>
    <t>UC01–UC23</t>
  </si>
  <si>
    <t>GIAI ĐOẠN 6 – TRIỂN KHAI VÀ BẢO VỆ</t>
  </si>
  <si>
    <t>Đưa hệ thống lên Internet, hoàn thiện tài liệu và chuẩn bị bảo vệ cuối kỳ.</t>
  </si>
  <si>
    <t>GĐ6-01</t>
  </si>
  <si>
    <t>Triển khai chính thức</t>
  </si>
  <si>
    <t>1. Triển khai lên máy chủ đám mây bằng Docker; cấu hình tên miền và HTTPS.
2. Cấu hình biến môi trường thật (khóa Gemini, token Telegram, SMTP); không đưa khóa lên GitHub.
3. Sao lưu CSDL tự động hằng ngày, giữ 7 bản gần nhất; chạy thử khôi phục.
4. Tạo tài khoản demo cho 4 vai trò để giảng viên dùng thử.</t>
  </si>
  <si>
    <t>Mã nguồn đã qua kiểm thử (GĐ5)</t>
  </si>
  <si>
    <t>Hệ thống chạy trên Internet (D9)</t>
  </si>
  <si>
    <t>Truy cập được qua HTTPS; khôi phục thử thành công từ bản sao lưu.</t>
  </si>
  <si>
    <t>NFR-06, NFR-13; D9</t>
  </si>
  <si>
    <t>GĐ6-02</t>
  </si>
  <si>
    <t>Nộp kết quả cuối kỳ</t>
  </si>
  <si>
    <t>1. Kiểm tra đủ bộ kết quả: mã nguồn, link hệ thống, SRS và SAD bản cuối, lược đồ CSDL, báo cáo kiểm thử, hướng dẫn sử dụng, slide.
2. Gộp develop vào main, gắn tag v1.0 trên GitHub.
3. Nộp lên hệ thống của môn học; dữ liệu vượt giới hạn thì nộp link repository.</t>
  </si>
  <si>
    <t>Kết quả GĐ6-01 đến GĐ6-07</t>
  </si>
  <si>
    <t>Bộ kết quả cuối kỳ đã nộp</t>
  </si>
  <si>
    <t>Nộp đủ, đúng hạn; mọi link mở được.</t>
  </si>
  <si>
    <t>D9, D10, D11, D12</t>
  </si>
  <si>
    <t>GĐ6-03</t>
  </si>
  <si>
    <t>Hướng dẫn sử dụng</t>
  </si>
  <si>
    <t>1. Viết hướng dẫn cho 4 vai trò, theo đúng thứ tự công việc thực tế của từng vai trò.
2. Chèn ảnh chụp màn hình từ bản chính thức.
3. Định dạng: chỉ dùng màu mặc định, mục lục tự động.</t>
  </si>
  <si>
    <t>Bản triển khai chính thức (GĐ6-01)</t>
  </si>
  <si>
    <t>HuongDanSuDung_IT_OnSite.docx (D11)</t>
  </si>
  <si>
    <t>Người chưa dùng hệ thống đọc xong làm được công việc chính của vai trò mình.</t>
  </si>
  <si>
    <t>D11</t>
  </si>
  <si>
    <t>GĐ6-04</t>
  </si>
  <si>
    <t>Slide bảo vệ cuối kỳ</t>
  </si>
  <si>
    <t>1. Nội dung: bài toán thực tế; quy trình as-is và to-be; use case; kiến trúc; CSDL; AI; demo; kết quả kiểm thử; hạn chế và hướng phát triển.
2. Phân chia phần trình bày cho 3 người.
3. Tập trình bày cả nhóm ít nhất 1 lần, canh thời gian.</t>
  </si>
  <si>
    <t>SRS, SAD bản cuối; báo cáo kiểm thử (GĐ6-06)</t>
  </si>
  <si>
    <t>Slide bảo vệ (D12)</t>
  </si>
  <si>
    <t>Trình bày đúng thời gian quy định; mỗi thành viên có phần trình bày.</t>
  </si>
  <si>
    <t>D12</t>
  </si>
  <si>
    <t>GĐ6-05</t>
  </si>
  <si>
    <t>Video demo dự phòng</t>
  </si>
  <si>
    <t>1. Quay video 3–5 phút chạy trọn quy trình từ khách tạo yêu cầu tới đánh giá dịch vụ trên bản chính thức.
2. Thêm lời thuyết minh hoặc phụ đề ngắn cho từng bước.
3. Lưu sẵn trên máy và trên OneDrive để dùng khi mạng lỗi lúc bảo vệ.</t>
  </si>
  <si>
    <t>Bản triển khai chính thức; kịch bản demo (GĐ6-07)</t>
  </si>
  <si>
    <t>Video demo</t>
  </si>
  <si>
    <t>Video thể hiện đủ thao tác của 4 vai trò.</t>
  </si>
  <si>
    <t>GĐ6-06</t>
  </si>
  <si>
    <t>Báo cáo kiểm thử cuối</t>
  </si>
  <si>
    <t>1. Tổng hợp kết quả test case, lỗi đã phát hiện và đã sửa, độ bao phủ, kết quả bảo mật – hiệu năng, kết quả đánh giá AI, UAT.
2. Đối chiếu từng yêu cầu phi chức năng: đạt hoặc chưa đạt, kèm số liệu.
3. Định dạng: chỉ dùng màu mặc định, mục lục tự động.</t>
  </si>
  <si>
    <t>Kết quả GĐ5-01 đến GĐ5-07</t>
  </si>
  <si>
    <t>BaoCaoKiemThu_IT_OnSite.docx (D10)</t>
  </si>
  <si>
    <t>Mọi NFR có kết luận đạt hoặc chưa đạt kèm số liệu đo được.</t>
  </si>
  <si>
    <t>NFR-01–NFR-18; D10</t>
  </si>
  <si>
    <t>GĐ6-07</t>
  </si>
  <si>
    <t>Cập nhật tài liệu bản cuối và kịch bản bảo vệ</t>
  </si>
  <si>
    <t>1. Cập nhật SRS và SAD cho khớp với sản phẩm thực tế; cập nhật ma trận truy vết quy trình – use case – test case.
2. Viết kịch bản demo theo quy trình thực tế, chuẩn bị dữ liệu mẫu, phân công ai thao tác phần nào.
3. Soạn bộ câu hỏi dự kiến của hội đồng kèm câu trả lời, gửi cả nhóm cùng ôn.</t>
  </si>
  <si>
    <t>Sản phẩm chính thức; SRS v1.0; SAD v1.0</t>
  </si>
  <si>
    <t>SRS, SAD bản cuối; kịch bản demo; bộ câu hỏi và trả lời</t>
  </si>
  <si>
    <t>Không còn điểm khác biệt giữa tài liệu và sản phẩm; kịch bản demo chạy trọn trên bản chính thức.</t>
  </si>
  <si>
    <t>D5, D6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</si>
</sst>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3"/>
      <name val="Arial"/>
      <charset val="1"/>
    </font>
    <font>
      <b/>
      <sz val="10"/>
      <name val="Arial"/>
      <charset val="1"/>
    </font>
    <font>
      <sz val="10"/>
      <name val="Arial"/>
      <charset val="1"/>
    </font>
    <font>
      <i/>
      <sz val="10"/>
      <name val="Arial"/>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2" fillId="0" borderId="1" xfId="0" applyFont="1" applyBorder="1" applyAlignment="1">
      <alignment vertical="center"/>
    </xf>
    <xf numFmtId="0" fontId="4" fillId="0" borderId="0" xfId="0" applyFont="1" applyAlignment="1">
      <alignment vertical="top" wrapText="1"/>
    </xf>
    <xf numFmtId="0" fontId="2" fillId="0" borderId="1" xfId="0" applyFont="1" applyBorder="1" applyAlignment="1">
      <alignment horizontal="center" vertical="center" wrapText="1"/>
    </xf>
    <xf numFmtId="0" fontId="1" fillId="0" borderId="0" xfId="0" applyFont="1"/>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xf numFmtId="9" fontId="2" fillId="0" borderId="0" xfId="0" applyNumberFormat="1" applyFont="1" applyAlignment="1">
      <alignment horizont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9" fontId="3"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9" fontId="2" fillId="0" borderId="1" xfId="0" applyNumberFormat="1" applyFont="1" applyBorder="1" applyAlignment="1">
      <alignment horizontal="center" vertical="center"/>
    </xf>
    <xf numFmtId="0" fontId="3" fillId="0" borderId="1" xfId="0" applyFont="1" applyBorder="1"/>
    <xf numFmtId="9" fontId="3" fillId="0" borderId="1" xfId="0" applyNumberFormat="1" applyFont="1" applyBorder="1" applyAlignment="1">
      <alignment horizontal="center" vertical="center" wrapText="1"/>
    </xf>
    <xf numFmtId="0" fontId="3"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14" fontId="3" fillId="0" borderId="1"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
  <sheetViews>
    <sheetView showGridLines="0" zoomScaleNormal="100" workbookViewId="0">
      <selection activeCell="K16" sqref="K16"/>
    </sheetView>
  </sheetViews>
  <sheetFormatPr defaultColWidth="8.6640625" defaultRowHeight="14.4" x14ac:dyDescent="0.3"/>
  <cols>
    <col min="1" max="1" width="7" customWidth="1"/>
    <col min="2" max="2" width="26" customWidth="1"/>
    <col min="3" max="3" width="16" customWidth="1"/>
    <col min="4" max="4" width="14" customWidth="1"/>
    <col min="5" max="5" width="36" customWidth="1"/>
  </cols>
  <sheetData>
    <row r="1" spans="1:5" ht="16.8" x14ac:dyDescent="0.3">
      <c r="A1" s="4" t="s">
        <v>0</v>
      </c>
    </row>
    <row r="3" spans="1:5" ht="21.75" customHeight="1" x14ac:dyDescent="0.3">
      <c r="A3" s="5" t="s">
        <v>1</v>
      </c>
      <c r="B3" s="5" t="s">
        <v>2</v>
      </c>
      <c r="C3" s="5" t="s">
        <v>3</v>
      </c>
      <c r="D3" s="5" t="s">
        <v>4</v>
      </c>
      <c r="E3" s="5" t="s">
        <v>5</v>
      </c>
    </row>
    <row r="4" spans="1:5" ht="21.75" customHeight="1" x14ac:dyDescent="0.3">
      <c r="A4" s="5" t="s">
        <v>6</v>
      </c>
      <c r="B4" s="6" t="s">
        <v>7</v>
      </c>
      <c r="C4" s="7" t="s">
        <v>8</v>
      </c>
      <c r="D4" s="8" t="s">
        <v>9</v>
      </c>
      <c r="E4" s="6" t="s">
        <v>10</v>
      </c>
    </row>
    <row r="5" spans="1:5" ht="21.75" customHeight="1" x14ac:dyDescent="0.3">
      <c r="A5" s="5" t="s">
        <v>11</v>
      </c>
      <c r="B5" s="6" t="s">
        <v>12</v>
      </c>
      <c r="C5" s="7"/>
      <c r="D5" s="8" t="s">
        <v>13</v>
      </c>
      <c r="E5" s="6" t="s">
        <v>14</v>
      </c>
    </row>
    <row r="6" spans="1:5" ht="21.75" customHeight="1" x14ac:dyDescent="0.3">
      <c r="A6" s="5" t="s">
        <v>15</v>
      </c>
      <c r="B6" s="6" t="s">
        <v>16</v>
      </c>
      <c r="C6" s="7"/>
      <c r="D6" s="8" t="s">
        <v>13</v>
      </c>
      <c r="E6" s="6" t="s">
        <v>17</v>
      </c>
    </row>
  </sheetData>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6"/>
  <sheetViews>
    <sheetView showGridLines="0" tabSelected="1" topLeftCell="A14" zoomScaleNormal="100" workbookViewId="0">
      <selection activeCell="A3" sqref="A3:XFD3"/>
    </sheetView>
  </sheetViews>
  <sheetFormatPr defaultColWidth="8.6640625" defaultRowHeight="14.4" x14ac:dyDescent="0.3"/>
  <cols>
    <col min="1" max="1" width="38" customWidth="1"/>
    <col min="2" max="13" width="11" customWidth="1"/>
  </cols>
  <sheetData>
    <row r="1" spans="1:8" ht="16.8" x14ac:dyDescent="0.3">
      <c r="A1" s="4" t="s">
        <v>18</v>
      </c>
    </row>
    <row r="3" spans="1:8" hidden="1" x14ac:dyDescent="0.3">
      <c r="A3" s="9" t="s">
        <v>19</v>
      </c>
      <c r="B3" s="10">
        <f>G13</f>
        <v>0</v>
      </c>
    </row>
    <row r="5" spans="1:8" x14ac:dyDescent="0.3">
      <c r="A5" s="9" t="s">
        <v>20</v>
      </c>
    </row>
    <row r="6" spans="1:8" ht="26.4" x14ac:dyDescent="0.3">
      <c r="A6" s="5" t="s">
        <v>21</v>
      </c>
      <c r="B6" s="5" t="s">
        <v>22</v>
      </c>
      <c r="C6" s="5" t="s">
        <v>23</v>
      </c>
      <c r="D6" s="5" t="s">
        <v>24</v>
      </c>
      <c r="E6" s="5" t="s">
        <v>25</v>
      </c>
      <c r="F6" s="5" t="s">
        <v>26</v>
      </c>
      <c r="G6" s="5" t="s">
        <v>27</v>
      </c>
    </row>
    <row r="7" spans="1:8" x14ac:dyDescent="0.3">
      <c r="A7" s="11" t="s">
        <v>28</v>
      </c>
      <c r="B7" s="12">
        <f>COUNTIFS('GĐ1 Quản lý dự án'!$H$5:$H$300,"TV*")</f>
        <v>6</v>
      </c>
      <c r="C7" s="12">
        <f>COUNTIFS('GĐ1 Quản lý dự án'!$H$5:$H$300,"TV*",'GĐ1 Quản lý dự án'!$N$5:$N$300,"Đã làm")</f>
        <v>0</v>
      </c>
      <c r="D7" s="12">
        <f>COUNTIFS('GĐ1 Quản lý dự án'!$H$5:$H$300,"TV*",'GĐ1 Quản lý dự án'!$N$5:$N$300,"Đang làm")</f>
        <v>0</v>
      </c>
      <c r="E7" s="12">
        <f>COUNTIFS('GĐ1 Quản lý dự án'!$H$5:$H$300,"TV*",'GĐ1 Quản lý dự án'!$N$5:$N$300,"Chưa làm")</f>
        <v>6</v>
      </c>
      <c r="F7" s="12">
        <f ca="1">COUNTIFS('GĐ1 Quản lý dự án'!$H$5:$H$300,"TV*",'GĐ1 Quản lý dự án'!$M$5:$M$300,"&lt;"&amp;TODAY(),'GĐ1 Quản lý dự án'!$N$5:$N$300,"&lt;&gt;Đã làm")</f>
        <v>0</v>
      </c>
      <c r="G7" s="13">
        <f t="shared" ref="G7:G13" si="0">IF(B7=0,0,C7/B7)</f>
        <v>0</v>
      </c>
    </row>
    <row r="8" spans="1:8" x14ac:dyDescent="0.3">
      <c r="A8" s="11" t="s">
        <v>29</v>
      </c>
      <c r="B8" s="12">
        <f>COUNTIFS('GĐ2 Phân tích yêu cầu'!$H$5:$H$300,"TV*")</f>
        <v>9</v>
      </c>
      <c r="C8" s="12">
        <f>COUNTIFS('GĐ2 Phân tích yêu cầu'!$H$5:$H$300,"TV*",'GĐ2 Phân tích yêu cầu'!$N$5:$N$300,"Đã làm")</f>
        <v>0</v>
      </c>
      <c r="D8" s="12">
        <f>COUNTIFS('GĐ2 Phân tích yêu cầu'!$H$5:$H$300,"TV*",'GĐ2 Phân tích yêu cầu'!$N$5:$N$300,"Đang làm")</f>
        <v>0</v>
      </c>
      <c r="E8" s="12">
        <f>COUNTIFS('GĐ2 Phân tích yêu cầu'!$H$5:$H$300,"TV*",'GĐ2 Phân tích yêu cầu'!$N$5:$N$300,"Chưa làm")</f>
        <v>9</v>
      </c>
      <c r="F8" s="12">
        <f ca="1">COUNTIFS('GĐ2 Phân tích yêu cầu'!$H$5:$H$300,"TV*",'GĐ2 Phân tích yêu cầu'!$M$5:$M$300,"&lt;"&amp;TODAY(),'GĐ2 Phân tích yêu cầu'!$N$5:$N$300,"&lt;&gt;Đã làm")</f>
        <v>0</v>
      </c>
      <c r="G8" s="13">
        <f t="shared" si="0"/>
        <v>0</v>
      </c>
    </row>
    <row r="9" spans="1:8" x14ac:dyDescent="0.3">
      <c r="A9" s="11" t="s">
        <v>30</v>
      </c>
      <c r="B9" s="12">
        <f>COUNTIFS('GĐ3 Thiết kế'!$H$5:$H$300,"TV*")</f>
        <v>11</v>
      </c>
      <c r="C9" s="12">
        <f>COUNTIFS('GĐ3 Thiết kế'!$H$5:$H$300,"TV*",'GĐ3 Thiết kế'!$N$5:$N$300,"Đã làm")</f>
        <v>0</v>
      </c>
      <c r="D9" s="12">
        <f>COUNTIFS('GĐ3 Thiết kế'!$H$5:$H$300,"TV*",'GĐ3 Thiết kế'!$N$5:$N$300,"Đang làm")</f>
        <v>0</v>
      </c>
      <c r="E9" s="12">
        <f>COUNTIFS('GĐ3 Thiết kế'!$H$5:$H$300,"TV*",'GĐ3 Thiết kế'!$N$5:$N$300,"Chưa làm")</f>
        <v>11</v>
      </c>
      <c r="F9" s="12">
        <f ca="1">COUNTIFS('GĐ3 Thiết kế'!$H$5:$H$300,"TV*",'GĐ3 Thiết kế'!$M$5:$M$300,"&lt;"&amp;TODAY(),'GĐ3 Thiết kế'!$N$5:$N$300,"&lt;&gt;Đã làm")</f>
        <v>0</v>
      </c>
      <c r="G9" s="13">
        <f t="shared" si="0"/>
        <v>0</v>
      </c>
    </row>
    <row r="10" spans="1:8" x14ac:dyDescent="0.3">
      <c r="A10" s="11" t="s">
        <v>31</v>
      </c>
      <c r="B10" s="12">
        <f>COUNTIFS('GĐ4 Lập trình'!$H$5:$H$300,"TV*")</f>
        <v>17</v>
      </c>
      <c r="C10" s="12">
        <f>COUNTIFS('GĐ4 Lập trình'!$H$5:$H$300,"TV*",'GĐ4 Lập trình'!$N$5:$N$300,"Đã làm")</f>
        <v>0</v>
      </c>
      <c r="D10" s="12">
        <f>COUNTIFS('GĐ4 Lập trình'!$H$5:$H$300,"TV*",'GĐ4 Lập trình'!$N$5:$N$300,"Đang làm")</f>
        <v>0</v>
      </c>
      <c r="E10" s="12">
        <f>COUNTIFS('GĐ4 Lập trình'!$H$5:$H$300,"TV*",'GĐ4 Lập trình'!$N$5:$N$300,"Chưa làm")</f>
        <v>17</v>
      </c>
      <c r="F10" s="12">
        <f ca="1">COUNTIFS('GĐ4 Lập trình'!$H$5:$H$300,"TV*",'GĐ4 Lập trình'!$M$5:$M$300,"&lt;"&amp;TODAY(),'GĐ4 Lập trình'!$N$5:$N$300,"&lt;&gt;Đã làm")</f>
        <v>0</v>
      </c>
      <c r="G10" s="13">
        <f t="shared" si="0"/>
        <v>0</v>
      </c>
    </row>
    <row r="11" spans="1:8" x14ac:dyDescent="0.3">
      <c r="A11" s="11" t="s">
        <v>32</v>
      </c>
      <c r="B11" s="12">
        <f>COUNTIFS('GĐ5 Kiểm thử'!$H$5:$H$300,"TV*")</f>
        <v>7</v>
      </c>
      <c r="C11" s="12">
        <f>COUNTIFS('GĐ5 Kiểm thử'!$H$5:$H$300,"TV*",'GĐ5 Kiểm thử'!$N$5:$N$300,"Đã làm")</f>
        <v>0</v>
      </c>
      <c r="D11" s="12">
        <f>COUNTIFS('GĐ5 Kiểm thử'!$H$5:$H$300,"TV*",'GĐ5 Kiểm thử'!$N$5:$N$300,"Đang làm")</f>
        <v>0</v>
      </c>
      <c r="E11" s="12">
        <f>COUNTIFS('GĐ5 Kiểm thử'!$H$5:$H$300,"TV*",'GĐ5 Kiểm thử'!$N$5:$N$300,"Chưa làm")</f>
        <v>7</v>
      </c>
      <c r="F11" s="12">
        <f ca="1">COUNTIFS('GĐ5 Kiểm thử'!$H$5:$H$300,"TV*",'GĐ5 Kiểm thử'!$M$5:$M$300,"&lt;"&amp;TODAY(),'GĐ5 Kiểm thử'!$N$5:$N$300,"&lt;&gt;Đã làm")</f>
        <v>0</v>
      </c>
      <c r="G11" s="13">
        <f t="shared" si="0"/>
        <v>0</v>
      </c>
    </row>
    <row r="12" spans="1:8" x14ac:dyDescent="0.3">
      <c r="A12" s="11" t="s">
        <v>33</v>
      </c>
      <c r="B12" s="12">
        <f>COUNTIFS('GĐ6 Triển khai và bảo vệ'!$H$5:$H$300,"TV*")</f>
        <v>7</v>
      </c>
      <c r="C12" s="12">
        <f>COUNTIFS('GĐ6 Triển khai và bảo vệ'!$H$5:$H$300,"TV*",'GĐ6 Triển khai và bảo vệ'!$N$5:$N$300,"Đã làm")</f>
        <v>0</v>
      </c>
      <c r="D12" s="12">
        <f>COUNTIFS('GĐ6 Triển khai và bảo vệ'!$H$5:$H$300,"TV*",'GĐ6 Triển khai và bảo vệ'!$N$5:$N$300,"Đang làm")</f>
        <v>0</v>
      </c>
      <c r="E12" s="12">
        <f>COUNTIFS('GĐ6 Triển khai và bảo vệ'!$H$5:$H$300,"TV*",'GĐ6 Triển khai và bảo vệ'!$N$5:$N$300,"Chưa làm")</f>
        <v>7</v>
      </c>
      <c r="F12" s="12">
        <f ca="1">COUNTIFS('GĐ6 Triển khai và bảo vệ'!$H$5:$H$300,"TV*",'GĐ6 Triển khai và bảo vệ'!$M$5:$M$300,"&lt;"&amp;TODAY(),'GĐ6 Triển khai và bảo vệ'!$N$5:$N$300,"&lt;&gt;Đã làm")</f>
        <v>0</v>
      </c>
      <c r="G12" s="13">
        <f t="shared" si="0"/>
        <v>0</v>
      </c>
    </row>
    <row r="13" spans="1:8" x14ac:dyDescent="0.3">
      <c r="A13" s="14" t="s">
        <v>34</v>
      </c>
      <c r="B13" s="15">
        <f>SUM(B7:B12)</f>
        <v>57</v>
      </c>
      <c r="C13" s="15">
        <f>SUM(C7:C12)</f>
        <v>0</v>
      </c>
      <c r="D13" s="15">
        <f>SUM(D7:D12)</f>
        <v>0</v>
      </c>
      <c r="E13" s="15">
        <f>SUM(E7:E12)</f>
        <v>57</v>
      </c>
      <c r="F13" s="15">
        <f ca="1">SUM(F7:F12)</f>
        <v>0</v>
      </c>
      <c r="G13" s="16">
        <f t="shared" si="0"/>
        <v>0</v>
      </c>
    </row>
    <row r="15" spans="1:8" x14ac:dyDescent="0.3">
      <c r="A15" s="9" t="s">
        <v>35</v>
      </c>
    </row>
    <row r="16" spans="1:8" ht="26.4" x14ac:dyDescent="0.3">
      <c r="A16" s="5" t="s">
        <v>13</v>
      </c>
      <c r="B16" s="5" t="s">
        <v>22</v>
      </c>
      <c r="C16" s="5" t="s">
        <v>23</v>
      </c>
      <c r="D16" s="5" t="s">
        <v>24</v>
      </c>
      <c r="E16" s="5" t="s">
        <v>25</v>
      </c>
      <c r="F16" s="5" t="s">
        <v>26</v>
      </c>
      <c r="G16" s="5" t="s">
        <v>27</v>
      </c>
      <c r="H16" s="5" t="s">
        <v>36</v>
      </c>
    </row>
    <row r="17" spans="1:13" x14ac:dyDescent="0.3">
      <c r="A17" s="11" t="str">
        <f>"TV1 – "&amp;'Thành viên'!B4</f>
        <v>TV1 – Phạm Ngọc Trung</v>
      </c>
      <c r="B17" s="12">
        <f>COUNTIFS('GĐ1 Quản lý dự án'!$H$5:$H$300,"TV1")+COUNTIFS('GĐ2 Phân tích yêu cầu'!$H$5:$H$300,"TV1")+COUNTIFS('GĐ3 Thiết kế'!$H$5:$H$300,"TV1")+COUNTIFS('GĐ4 Lập trình'!$H$5:$H$300,"TV1")+COUNTIFS('GĐ5 Kiểm thử'!$H$5:$H$300,"TV1")+COUNTIFS('GĐ6 Triển khai và bảo vệ'!$H$5:$H$300,"TV1")</f>
        <v>21</v>
      </c>
      <c r="C17" s="12">
        <f>COUNTIFS('GĐ1 Quản lý dự án'!$H$5:$H$300,"TV1",'GĐ1 Quản lý dự án'!$N$5:$N$300,"Đã làm")+COUNTIFS('GĐ2 Phân tích yêu cầu'!$H$5:$H$300,"TV1",'GĐ2 Phân tích yêu cầu'!$N$5:$N$300,"Đã làm")+COUNTIFS('GĐ3 Thiết kế'!$H$5:$H$300,"TV1",'GĐ3 Thiết kế'!$N$5:$N$300,"Đã làm")+COUNTIFS('GĐ4 Lập trình'!$H$5:$H$300,"TV1",'GĐ4 Lập trình'!$N$5:$N$300,"Đã làm")+COUNTIFS('GĐ5 Kiểm thử'!$H$5:$H$300,"TV1",'GĐ5 Kiểm thử'!$N$5:$N$300,"Đã làm")+COUNTIFS('GĐ6 Triển khai và bảo vệ'!$H$5:$H$300,"TV1",'GĐ6 Triển khai và bảo vệ'!$N$5:$N$300,"Đã làm")</f>
        <v>0</v>
      </c>
      <c r="D17" s="12">
        <f>COUNTIFS('GĐ1 Quản lý dự án'!$H$5:$H$300,"TV1",'GĐ1 Quản lý dự án'!$N$5:$N$300,"Đang làm")+COUNTIFS('GĐ2 Phân tích yêu cầu'!$H$5:$H$300,"TV1",'GĐ2 Phân tích yêu cầu'!$N$5:$N$300,"Đang làm")+COUNTIFS('GĐ3 Thiết kế'!$H$5:$H$300,"TV1",'GĐ3 Thiết kế'!$N$5:$N$300,"Đang làm")+COUNTIFS('GĐ4 Lập trình'!$H$5:$H$300,"TV1",'GĐ4 Lập trình'!$N$5:$N$300,"Đang làm")+COUNTIFS('GĐ5 Kiểm thử'!$H$5:$H$300,"TV1",'GĐ5 Kiểm thử'!$N$5:$N$300,"Đang làm")+COUNTIFS('GĐ6 Triển khai và bảo vệ'!$H$5:$H$300,"TV1",'GĐ6 Triển khai và bảo vệ'!$N$5:$N$300,"Đang làm")</f>
        <v>0</v>
      </c>
      <c r="E17" s="12">
        <f>COUNTIFS('GĐ1 Quản lý dự án'!$H$5:$H$300,"TV1",'GĐ1 Quản lý dự án'!$N$5:$N$300,"Chưa làm")+COUNTIFS('GĐ2 Phân tích yêu cầu'!$H$5:$H$300,"TV1",'GĐ2 Phân tích yêu cầu'!$N$5:$N$300,"Chưa làm")+COUNTIFS('GĐ3 Thiết kế'!$H$5:$H$300,"TV1",'GĐ3 Thiết kế'!$N$5:$N$300,"Chưa làm")+COUNTIFS('GĐ4 Lập trình'!$H$5:$H$300,"TV1",'GĐ4 Lập trình'!$N$5:$N$300,"Chưa làm")+COUNTIFS('GĐ5 Kiểm thử'!$H$5:$H$300,"TV1",'GĐ5 Kiểm thử'!$N$5:$N$300,"Chưa làm")+COUNTIFS('GĐ6 Triển khai và bảo vệ'!$H$5:$H$300,"TV1",'GĐ6 Triển khai và bảo vệ'!$N$5:$N$300,"Chưa làm")</f>
        <v>21</v>
      </c>
      <c r="F17" s="12">
        <f ca="1">COUNTIFS('GĐ1 Quản lý dự án'!$H$5:$H$300,"TV1",'GĐ1 Quản lý dự án'!$M$5:$M$300,"&lt;"&amp;TODAY(),'GĐ1 Quản lý dự án'!$N$5:$N$300,"&lt;&gt;Đã làm")+COUNTIFS('GĐ2 Phân tích yêu cầu'!$H$5:$H$300,"TV1",'GĐ2 Phân tích yêu cầu'!$M$5:$M$300,"&lt;"&amp;TODAY(),'GĐ2 Phân tích yêu cầu'!$N$5:$N$300,"&lt;&gt;Đã làm")+COUNTIFS('GĐ3 Thiết kế'!$H$5:$H$300,"TV1",'GĐ3 Thiết kế'!$M$5:$M$300,"&lt;"&amp;TODAY(),'GĐ3 Thiết kế'!$N$5:$N$300,"&lt;&gt;Đã làm")+COUNTIFS('GĐ4 Lập trình'!$H$5:$H$300,"TV1",'GĐ4 Lập trình'!$M$5:$M$300,"&lt;"&amp;TODAY(),'GĐ4 Lập trình'!$N$5:$N$300,"&lt;&gt;Đã làm")+COUNTIFS('GĐ5 Kiểm thử'!$H$5:$H$300,"TV1",'GĐ5 Kiểm thử'!$M$5:$M$300,"&lt;"&amp;TODAY(),'GĐ5 Kiểm thử'!$N$5:$N$300,"&lt;&gt;Đã làm")+COUNTIFS('GĐ6 Triển khai và bảo vệ'!$H$5:$H$300,"TV1",'GĐ6 Triển khai và bảo vệ'!$M$5:$M$300,"&lt;"&amp;TODAY(),'GĐ6 Triển khai và bảo vệ'!$N$5:$N$300,"&lt;&gt;Đã làm")</f>
        <v>0</v>
      </c>
      <c r="G17" s="13">
        <f>IF(B17=0,0,C17/B17)</f>
        <v>0</v>
      </c>
      <c r="H17" s="13">
        <f>IF($B$13=0,0,B17/$B$13)</f>
        <v>0.36842105263157893</v>
      </c>
    </row>
    <row r="18" spans="1:13" x14ac:dyDescent="0.3">
      <c r="A18" s="11" t="str">
        <f>"TV2 – "&amp;'Thành viên'!B5</f>
        <v>TV2 – Trần Quốc Anh Hoàng</v>
      </c>
      <c r="B18" s="12">
        <f>COUNTIFS('GĐ1 Quản lý dự án'!$H$5:$H$300,"TV2")+COUNTIFS('GĐ2 Phân tích yêu cầu'!$H$5:$H$300,"TV2")+COUNTIFS('GĐ3 Thiết kế'!$H$5:$H$300,"TV2")+COUNTIFS('GĐ4 Lập trình'!$H$5:$H$300,"TV2")+COUNTIFS('GĐ5 Kiểm thử'!$H$5:$H$300,"TV2")+COUNTIFS('GĐ6 Triển khai và bảo vệ'!$H$5:$H$300,"TV2")</f>
        <v>17</v>
      </c>
      <c r="C18" s="12">
        <f>COUNTIFS('GĐ1 Quản lý dự án'!$H$5:$H$300,"TV2",'GĐ1 Quản lý dự án'!$N$5:$N$300,"Đã làm")+COUNTIFS('GĐ2 Phân tích yêu cầu'!$H$5:$H$300,"TV2",'GĐ2 Phân tích yêu cầu'!$N$5:$N$300,"Đã làm")+COUNTIFS('GĐ3 Thiết kế'!$H$5:$H$300,"TV2",'GĐ3 Thiết kế'!$N$5:$N$300,"Đã làm")+COUNTIFS('GĐ4 Lập trình'!$H$5:$H$300,"TV2",'GĐ4 Lập trình'!$N$5:$N$300,"Đã làm")+COUNTIFS('GĐ5 Kiểm thử'!$H$5:$H$300,"TV2",'GĐ5 Kiểm thử'!$N$5:$N$300,"Đã làm")+COUNTIFS('GĐ6 Triển khai và bảo vệ'!$H$5:$H$300,"TV2",'GĐ6 Triển khai và bảo vệ'!$N$5:$N$300,"Đã làm")</f>
        <v>0</v>
      </c>
      <c r="D18" s="12">
        <f>COUNTIFS('GĐ1 Quản lý dự án'!$H$5:$H$300,"TV2",'GĐ1 Quản lý dự án'!$N$5:$N$300,"Đang làm")+COUNTIFS('GĐ2 Phân tích yêu cầu'!$H$5:$H$300,"TV2",'GĐ2 Phân tích yêu cầu'!$N$5:$N$300,"Đang làm")+COUNTIFS('GĐ3 Thiết kế'!$H$5:$H$300,"TV2",'GĐ3 Thiết kế'!$N$5:$N$300,"Đang làm")+COUNTIFS('GĐ4 Lập trình'!$H$5:$H$300,"TV2",'GĐ4 Lập trình'!$N$5:$N$300,"Đang làm")+COUNTIFS('GĐ5 Kiểm thử'!$H$5:$H$300,"TV2",'GĐ5 Kiểm thử'!$N$5:$N$300,"Đang làm")+COUNTIFS('GĐ6 Triển khai và bảo vệ'!$H$5:$H$300,"TV2",'GĐ6 Triển khai và bảo vệ'!$N$5:$N$300,"Đang làm")</f>
        <v>0</v>
      </c>
      <c r="E18" s="12">
        <f>COUNTIFS('GĐ1 Quản lý dự án'!$H$5:$H$300,"TV2",'GĐ1 Quản lý dự án'!$N$5:$N$300,"Chưa làm")+COUNTIFS('GĐ2 Phân tích yêu cầu'!$H$5:$H$300,"TV2",'GĐ2 Phân tích yêu cầu'!$N$5:$N$300,"Chưa làm")+COUNTIFS('GĐ3 Thiết kế'!$H$5:$H$300,"TV2",'GĐ3 Thiết kế'!$N$5:$N$300,"Chưa làm")+COUNTIFS('GĐ4 Lập trình'!$H$5:$H$300,"TV2",'GĐ4 Lập trình'!$N$5:$N$300,"Chưa làm")+COUNTIFS('GĐ5 Kiểm thử'!$H$5:$H$300,"TV2",'GĐ5 Kiểm thử'!$N$5:$N$300,"Chưa làm")+COUNTIFS('GĐ6 Triển khai và bảo vệ'!$H$5:$H$300,"TV2",'GĐ6 Triển khai và bảo vệ'!$N$5:$N$300,"Chưa làm")</f>
        <v>17</v>
      </c>
      <c r="F18" s="12">
        <f ca="1">COUNTIFS('GĐ1 Quản lý dự án'!$H$5:$H$300,"TV2",'GĐ1 Quản lý dự án'!$M$5:$M$300,"&lt;"&amp;TODAY(),'GĐ1 Quản lý dự án'!$N$5:$N$300,"&lt;&gt;Đã làm")+COUNTIFS('GĐ2 Phân tích yêu cầu'!$H$5:$H$300,"TV2",'GĐ2 Phân tích yêu cầu'!$M$5:$M$300,"&lt;"&amp;TODAY(),'GĐ2 Phân tích yêu cầu'!$N$5:$N$300,"&lt;&gt;Đã làm")+COUNTIFS('GĐ3 Thiết kế'!$H$5:$H$300,"TV2",'GĐ3 Thiết kế'!$M$5:$M$300,"&lt;"&amp;TODAY(),'GĐ3 Thiết kế'!$N$5:$N$300,"&lt;&gt;Đã làm")+COUNTIFS('GĐ4 Lập trình'!$H$5:$H$300,"TV2",'GĐ4 Lập trình'!$M$5:$M$300,"&lt;"&amp;TODAY(),'GĐ4 Lập trình'!$N$5:$N$300,"&lt;&gt;Đã làm")+COUNTIFS('GĐ5 Kiểm thử'!$H$5:$H$300,"TV2",'GĐ5 Kiểm thử'!$M$5:$M$300,"&lt;"&amp;TODAY(),'GĐ5 Kiểm thử'!$N$5:$N$300,"&lt;&gt;Đã làm")+COUNTIFS('GĐ6 Triển khai và bảo vệ'!$H$5:$H$300,"TV2",'GĐ6 Triển khai và bảo vệ'!$M$5:$M$300,"&lt;"&amp;TODAY(),'GĐ6 Triển khai và bảo vệ'!$N$5:$N$300,"&lt;&gt;Đã làm")</f>
        <v>0</v>
      </c>
      <c r="G18" s="13">
        <f>IF(B18=0,0,C18/B18)</f>
        <v>0</v>
      </c>
      <c r="H18" s="13">
        <f>IF($B$13=0,0,B18/$B$13)</f>
        <v>0.2982456140350877</v>
      </c>
    </row>
    <row r="19" spans="1:13" x14ac:dyDescent="0.3">
      <c r="A19" s="11" t="str">
        <f>"TV3 – "&amp;'Thành viên'!B6</f>
        <v>TV3 – Nguyễn Văn Thu</v>
      </c>
      <c r="B19" s="12">
        <f>COUNTIFS('GĐ1 Quản lý dự án'!$H$5:$H$300,"TV3")+COUNTIFS('GĐ2 Phân tích yêu cầu'!$H$5:$H$300,"TV3")+COUNTIFS('GĐ3 Thiết kế'!$H$5:$H$300,"TV3")+COUNTIFS('GĐ4 Lập trình'!$H$5:$H$300,"TV3")+COUNTIFS('GĐ5 Kiểm thử'!$H$5:$H$300,"TV3")+COUNTIFS('GĐ6 Triển khai và bảo vệ'!$H$5:$H$300,"TV3")</f>
        <v>19</v>
      </c>
      <c r="C19" s="12">
        <f>COUNTIFS('GĐ1 Quản lý dự án'!$H$5:$H$300,"TV3",'GĐ1 Quản lý dự án'!$N$5:$N$300,"Đã làm")+COUNTIFS('GĐ2 Phân tích yêu cầu'!$H$5:$H$300,"TV3",'GĐ2 Phân tích yêu cầu'!$N$5:$N$300,"Đã làm")+COUNTIFS('GĐ3 Thiết kế'!$H$5:$H$300,"TV3",'GĐ3 Thiết kế'!$N$5:$N$300,"Đã làm")+COUNTIFS('GĐ4 Lập trình'!$H$5:$H$300,"TV3",'GĐ4 Lập trình'!$N$5:$N$300,"Đã làm")+COUNTIFS('GĐ5 Kiểm thử'!$H$5:$H$300,"TV3",'GĐ5 Kiểm thử'!$N$5:$N$300,"Đã làm")+COUNTIFS('GĐ6 Triển khai và bảo vệ'!$H$5:$H$300,"TV3",'GĐ6 Triển khai và bảo vệ'!$N$5:$N$300,"Đã làm")</f>
        <v>0</v>
      </c>
      <c r="D19" s="12">
        <f>COUNTIFS('GĐ1 Quản lý dự án'!$H$5:$H$300,"TV3",'GĐ1 Quản lý dự án'!$N$5:$N$300,"Đang làm")+COUNTIFS('GĐ2 Phân tích yêu cầu'!$H$5:$H$300,"TV3",'GĐ2 Phân tích yêu cầu'!$N$5:$N$300,"Đang làm")+COUNTIFS('GĐ3 Thiết kế'!$H$5:$H$300,"TV3",'GĐ3 Thiết kế'!$N$5:$N$300,"Đang làm")+COUNTIFS('GĐ4 Lập trình'!$H$5:$H$300,"TV3",'GĐ4 Lập trình'!$N$5:$N$300,"Đang làm")+COUNTIFS('GĐ5 Kiểm thử'!$H$5:$H$300,"TV3",'GĐ5 Kiểm thử'!$N$5:$N$300,"Đang làm")+COUNTIFS('GĐ6 Triển khai và bảo vệ'!$H$5:$H$300,"TV3",'GĐ6 Triển khai và bảo vệ'!$N$5:$N$300,"Đang làm")</f>
        <v>0</v>
      </c>
      <c r="E19" s="12">
        <f>COUNTIFS('GĐ1 Quản lý dự án'!$H$5:$H$300,"TV3",'GĐ1 Quản lý dự án'!$N$5:$N$300,"Chưa làm")+COUNTIFS('GĐ2 Phân tích yêu cầu'!$H$5:$H$300,"TV3",'GĐ2 Phân tích yêu cầu'!$N$5:$N$300,"Chưa làm")+COUNTIFS('GĐ3 Thiết kế'!$H$5:$H$300,"TV3",'GĐ3 Thiết kế'!$N$5:$N$300,"Chưa làm")+COUNTIFS('GĐ4 Lập trình'!$H$5:$H$300,"TV3",'GĐ4 Lập trình'!$N$5:$N$300,"Chưa làm")+COUNTIFS('GĐ5 Kiểm thử'!$H$5:$H$300,"TV3",'GĐ5 Kiểm thử'!$N$5:$N$300,"Chưa làm")+COUNTIFS('GĐ6 Triển khai và bảo vệ'!$H$5:$H$300,"TV3",'GĐ6 Triển khai và bảo vệ'!$N$5:$N$300,"Chưa làm")</f>
        <v>19</v>
      </c>
      <c r="F19" s="12">
        <f ca="1">COUNTIFS('GĐ1 Quản lý dự án'!$H$5:$H$300,"TV3",'GĐ1 Quản lý dự án'!$M$5:$M$300,"&lt;"&amp;TODAY(),'GĐ1 Quản lý dự án'!$N$5:$N$300,"&lt;&gt;Đã làm")+COUNTIFS('GĐ2 Phân tích yêu cầu'!$H$5:$H$300,"TV3",'GĐ2 Phân tích yêu cầu'!$M$5:$M$300,"&lt;"&amp;TODAY(),'GĐ2 Phân tích yêu cầu'!$N$5:$N$300,"&lt;&gt;Đã làm")+COUNTIFS('GĐ3 Thiết kế'!$H$5:$H$300,"TV3",'GĐ3 Thiết kế'!$M$5:$M$300,"&lt;"&amp;TODAY(),'GĐ3 Thiết kế'!$N$5:$N$300,"&lt;&gt;Đã làm")+COUNTIFS('GĐ4 Lập trình'!$H$5:$H$300,"TV3",'GĐ4 Lập trình'!$M$5:$M$300,"&lt;"&amp;TODAY(),'GĐ4 Lập trình'!$N$5:$N$300,"&lt;&gt;Đã làm")+COUNTIFS('GĐ5 Kiểm thử'!$H$5:$H$300,"TV3",'GĐ5 Kiểm thử'!$M$5:$M$300,"&lt;"&amp;TODAY(),'GĐ5 Kiểm thử'!$N$5:$N$300,"&lt;&gt;Đã làm")+COUNTIFS('GĐ6 Triển khai và bảo vệ'!$H$5:$H$300,"TV3",'GĐ6 Triển khai và bảo vệ'!$M$5:$M$300,"&lt;"&amp;TODAY(),'GĐ6 Triển khai và bảo vệ'!$N$5:$N$300,"&lt;&gt;Đã làm")</f>
        <v>0</v>
      </c>
      <c r="G19" s="13">
        <f>IF(B19=0,0,C19/B19)</f>
        <v>0</v>
      </c>
      <c r="H19" s="13">
        <f>IF($B$13=0,0,B19/$B$13)</f>
        <v>0.33333333333333331</v>
      </c>
    </row>
    <row r="21" spans="1:13" x14ac:dyDescent="0.3">
      <c r="A21" s="9" t="s">
        <v>37</v>
      </c>
    </row>
    <row r="22" spans="1:13" ht="15" customHeight="1" x14ac:dyDescent="0.3">
      <c r="A22" s="3" t="s">
        <v>13</v>
      </c>
      <c r="B22" s="3" t="s">
        <v>38</v>
      </c>
      <c r="C22" s="3"/>
      <c r="D22" s="3" t="s">
        <v>39</v>
      </c>
      <c r="E22" s="3"/>
      <c r="F22" s="3" t="s">
        <v>40</v>
      </c>
      <c r="G22" s="3"/>
      <c r="H22" s="3" t="s">
        <v>41</v>
      </c>
      <c r="I22" s="3"/>
      <c r="J22" s="3" t="s">
        <v>42</v>
      </c>
      <c r="K22" s="3"/>
      <c r="L22" s="3" t="s">
        <v>43</v>
      </c>
      <c r="M22" s="3"/>
    </row>
    <row r="23" spans="1:13" x14ac:dyDescent="0.3">
      <c r="A23" s="3"/>
      <c r="B23" s="5" t="s">
        <v>44</v>
      </c>
      <c r="C23" s="5" t="s">
        <v>45</v>
      </c>
      <c r="D23" s="5" t="s">
        <v>44</v>
      </c>
      <c r="E23" s="5" t="s">
        <v>45</v>
      </c>
      <c r="F23" s="5" t="s">
        <v>44</v>
      </c>
      <c r="G23" s="5" t="s">
        <v>45</v>
      </c>
      <c r="H23" s="5" t="s">
        <v>44</v>
      </c>
      <c r="I23" s="5" t="s">
        <v>45</v>
      </c>
      <c r="J23" s="5" t="s">
        <v>44</v>
      </c>
      <c r="K23" s="5" t="s">
        <v>45</v>
      </c>
      <c r="L23" s="5" t="s">
        <v>44</v>
      </c>
      <c r="M23" s="5" t="s">
        <v>45</v>
      </c>
    </row>
    <row r="24" spans="1:13" x14ac:dyDescent="0.3">
      <c r="A24" s="17" t="str">
        <f>"TV1 – "&amp;'Thành viên'!B4</f>
        <v>TV1 – Phạm Ngọc Trung</v>
      </c>
      <c r="B24" s="8">
        <f>COUNTIFS('GĐ1 Quản lý dự án'!$H$5:$H$300,"TV1")</f>
        <v>3</v>
      </c>
      <c r="C24" s="18">
        <f>IF(B24=0,0,COUNTIFS('GĐ1 Quản lý dự án'!$H$5:$H$300,"TV1",'GĐ1 Quản lý dự án'!$N$5:$N$300,"Đã làm")/B24)</f>
        <v>0</v>
      </c>
      <c r="D24" s="8">
        <f>COUNTIFS('GĐ2 Phân tích yêu cầu'!$H$5:$H$300,"TV1")</f>
        <v>3</v>
      </c>
      <c r="E24" s="18">
        <f>IF(D24=0,0,COUNTIFS('GĐ2 Phân tích yêu cầu'!$H$5:$H$300,"TV1",'GĐ2 Phân tích yêu cầu'!$N$5:$N$300,"Đã làm")/D24)</f>
        <v>0</v>
      </c>
      <c r="F24" s="8">
        <f>COUNTIFS('GĐ3 Thiết kế'!$H$5:$H$300,"TV1")</f>
        <v>4</v>
      </c>
      <c r="G24" s="18">
        <f>IF(F24=0,0,COUNTIFS('GĐ3 Thiết kế'!$H$5:$H$300,"TV1",'GĐ3 Thiết kế'!$N$5:$N$300,"Đã làm")/F24)</f>
        <v>0</v>
      </c>
      <c r="H24" s="8">
        <f>COUNTIFS('GĐ4 Lập trình'!$H$5:$H$300,"TV1")</f>
        <v>7</v>
      </c>
      <c r="I24" s="18">
        <f>IF(H24=0,0,COUNTIFS('GĐ4 Lập trình'!$H$5:$H$300,"TV1",'GĐ4 Lập trình'!$N$5:$N$300,"Đã làm")/H24)</f>
        <v>0</v>
      </c>
      <c r="J24" s="8">
        <f>COUNTIFS('GĐ5 Kiểm thử'!$H$5:$H$300,"TV1")</f>
        <v>2</v>
      </c>
      <c r="K24" s="18">
        <f>IF(J24=0,0,COUNTIFS('GĐ5 Kiểm thử'!$H$5:$H$300,"TV1",'GĐ5 Kiểm thử'!$N$5:$N$300,"Đã làm")/J24)</f>
        <v>0</v>
      </c>
      <c r="L24" s="8">
        <f>COUNTIFS('GĐ6 Triển khai và bảo vệ'!$H$5:$H$300,"TV1")</f>
        <v>2</v>
      </c>
      <c r="M24" s="18">
        <f>IF(L24=0,0,COUNTIFS('GĐ6 Triển khai và bảo vệ'!$H$5:$H$300,"TV1",'GĐ6 Triển khai và bảo vệ'!$N$5:$N$300,"Đã làm")/L24)</f>
        <v>0</v>
      </c>
    </row>
    <row r="25" spans="1:13" x14ac:dyDescent="0.3">
      <c r="A25" s="17" t="str">
        <f>"TV2 – "&amp;'Thành viên'!B5</f>
        <v>TV2 – Trần Quốc Anh Hoàng</v>
      </c>
      <c r="B25" s="8">
        <f>COUNTIFS('GĐ1 Quản lý dự án'!$H$5:$H$300,"TV2")</f>
        <v>2</v>
      </c>
      <c r="C25" s="18">
        <f>IF(B25=0,0,COUNTIFS('GĐ1 Quản lý dự án'!$H$5:$H$300,"TV2",'GĐ1 Quản lý dự án'!$N$5:$N$300,"Đã làm")/B25)</f>
        <v>0</v>
      </c>
      <c r="D25" s="8">
        <f>COUNTIFS('GĐ2 Phân tích yêu cầu'!$H$5:$H$300,"TV2")</f>
        <v>2</v>
      </c>
      <c r="E25" s="18">
        <f>IF(D25=0,0,COUNTIFS('GĐ2 Phân tích yêu cầu'!$H$5:$H$300,"TV2",'GĐ2 Phân tích yêu cầu'!$N$5:$N$300,"Đã làm")/D25)</f>
        <v>0</v>
      </c>
      <c r="F25" s="8">
        <f>COUNTIFS('GĐ3 Thiết kế'!$H$5:$H$300,"TV2")</f>
        <v>4</v>
      </c>
      <c r="G25" s="18">
        <f>IF(F25=0,0,COUNTIFS('GĐ3 Thiết kế'!$H$5:$H$300,"TV2",'GĐ3 Thiết kế'!$N$5:$N$300,"Đã làm")/F25)</f>
        <v>0</v>
      </c>
      <c r="H25" s="8">
        <f>COUNTIFS('GĐ4 Lập trình'!$H$5:$H$300,"TV2")</f>
        <v>4</v>
      </c>
      <c r="I25" s="18">
        <f>IF(H25=0,0,COUNTIFS('GĐ4 Lập trình'!$H$5:$H$300,"TV2",'GĐ4 Lập trình'!$N$5:$N$300,"Đã làm")/H25)</f>
        <v>0</v>
      </c>
      <c r="J25" s="8">
        <f>COUNTIFS('GĐ5 Kiểm thử'!$H$5:$H$300,"TV2")</f>
        <v>2</v>
      </c>
      <c r="K25" s="18">
        <f>IF(J25=0,0,COUNTIFS('GĐ5 Kiểm thử'!$H$5:$H$300,"TV2",'GĐ5 Kiểm thử'!$N$5:$N$300,"Đã làm")/J25)</f>
        <v>0</v>
      </c>
      <c r="L25" s="8">
        <f>COUNTIFS('GĐ6 Triển khai và bảo vệ'!$H$5:$H$300,"TV2")</f>
        <v>3</v>
      </c>
      <c r="M25" s="18">
        <f>IF(L25=0,0,COUNTIFS('GĐ6 Triển khai và bảo vệ'!$H$5:$H$300,"TV2",'GĐ6 Triển khai và bảo vệ'!$N$5:$N$300,"Đã làm")/L25)</f>
        <v>0</v>
      </c>
    </row>
    <row r="26" spans="1:13" x14ac:dyDescent="0.3">
      <c r="A26" s="17" t="str">
        <f>"TV3 – "&amp;'Thành viên'!B6</f>
        <v>TV3 – Nguyễn Văn Thu</v>
      </c>
      <c r="B26" s="8">
        <f>COUNTIFS('GĐ1 Quản lý dự án'!$H$5:$H$300,"TV3")</f>
        <v>1</v>
      </c>
      <c r="C26" s="18">
        <f>IF(B26=0,0,COUNTIFS('GĐ1 Quản lý dự án'!$H$5:$H$300,"TV3",'GĐ1 Quản lý dự án'!$N$5:$N$300,"Đã làm")/B26)</f>
        <v>0</v>
      </c>
      <c r="D26" s="8">
        <f>COUNTIFS('GĐ2 Phân tích yêu cầu'!$H$5:$H$300,"TV3")</f>
        <v>4</v>
      </c>
      <c r="E26" s="18">
        <f>IF(D26=0,0,COUNTIFS('GĐ2 Phân tích yêu cầu'!$H$5:$H$300,"TV3",'GĐ2 Phân tích yêu cầu'!$N$5:$N$300,"Đã làm")/D26)</f>
        <v>0</v>
      </c>
      <c r="F26" s="8">
        <f>COUNTIFS('GĐ3 Thiết kế'!$H$5:$H$300,"TV3")</f>
        <v>3</v>
      </c>
      <c r="G26" s="18">
        <f>IF(F26=0,0,COUNTIFS('GĐ3 Thiết kế'!$H$5:$H$300,"TV3",'GĐ3 Thiết kế'!$N$5:$N$300,"Đã làm")/F26)</f>
        <v>0</v>
      </c>
      <c r="H26" s="8">
        <f>COUNTIFS('GĐ4 Lập trình'!$H$5:$H$300,"TV3")</f>
        <v>6</v>
      </c>
      <c r="I26" s="18">
        <f>IF(H26=0,0,COUNTIFS('GĐ4 Lập trình'!$H$5:$H$300,"TV3",'GĐ4 Lập trình'!$N$5:$N$300,"Đã làm")/H26)</f>
        <v>0</v>
      </c>
      <c r="J26" s="8">
        <f>COUNTIFS('GĐ5 Kiểm thử'!$H$5:$H$300,"TV3")</f>
        <v>3</v>
      </c>
      <c r="K26" s="18">
        <f>IF(J26=0,0,COUNTIFS('GĐ5 Kiểm thử'!$H$5:$H$300,"TV3",'GĐ5 Kiểm thử'!$N$5:$N$300,"Đã làm")/J26)</f>
        <v>0</v>
      </c>
      <c r="L26" s="8">
        <f>COUNTIFS('GĐ6 Triển khai và bảo vệ'!$H$5:$H$300,"TV3")</f>
        <v>2</v>
      </c>
      <c r="M26" s="18">
        <f>IF(L26=0,0,COUNTIFS('GĐ6 Triển khai và bảo vệ'!$H$5:$H$300,"TV3",'GĐ6 Triển khai và bảo vệ'!$N$5:$N$300,"Đã làm")/L26)</f>
        <v>0</v>
      </c>
    </row>
  </sheetData>
  <mergeCells count="7">
    <mergeCell ref="J22:K22"/>
    <mergeCell ref="L22:M22"/>
    <mergeCell ref="A22:A23"/>
    <mergeCell ref="B22:C22"/>
    <mergeCell ref="D22:E22"/>
    <mergeCell ref="F22:G22"/>
    <mergeCell ref="H22:I22"/>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
  <sheetViews>
    <sheetView showGridLines="0" zoomScale="70" zoomScaleNormal="100" workbookViewId="0">
      <pane xSplit="2" ySplit="4" topLeftCell="C5" activePane="bottomRight" state="frozen"/>
      <selection pane="topRight" activeCell="C1" sqref="C1"/>
      <selection pane="bottomLeft" activeCell="A5" sqref="A5"/>
      <selection pane="bottomRight" activeCell="A2" sqref="A2:XFD2"/>
    </sheetView>
  </sheetViews>
  <sheetFormatPr defaultColWidth="8.6640625" defaultRowHeight="14.4" x14ac:dyDescent="0.3"/>
  <cols>
    <col min="1" max="1" width="8" customWidth="1"/>
    <col min="2" max="2" width="24" customWidth="1"/>
    <col min="3" max="3" width="62" customWidth="1"/>
    <col min="4" max="4" width="22" customWidth="1"/>
    <col min="5" max="5" width="24" customWidth="1"/>
    <col min="6" max="6" width="30" customWidth="1"/>
    <col min="7" max="7" width="18" customWidth="1"/>
    <col min="8" max="8" width="7" hidden="1" customWidth="1"/>
    <col min="9" max="9" width="18" customWidth="1"/>
    <col min="10" max="10" width="9" hidden="1" customWidth="1"/>
    <col min="11" max="11" width="18" hidden="1" customWidth="1"/>
    <col min="12" max="13" width="11" hidden="1" customWidth="1"/>
    <col min="14" max="14" width="12" customWidth="1"/>
    <col min="15" max="15" width="22" customWidth="1"/>
  </cols>
  <sheetData>
    <row r="1" spans="1:15" ht="16.8" x14ac:dyDescent="0.3">
      <c r="A1" s="4" t="s">
        <v>46</v>
      </c>
    </row>
    <row r="2" spans="1:15" ht="27.75" hidden="1" customHeight="1" x14ac:dyDescent="0.3">
      <c r="A2" s="2" t="s">
        <v>47</v>
      </c>
      <c r="B2" s="2"/>
      <c r="C2" s="2"/>
      <c r="D2" s="2"/>
      <c r="E2" s="2"/>
      <c r="F2" s="2"/>
      <c r="G2" s="2"/>
      <c r="H2" s="2"/>
      <c r="I2" s="2"/>
      <c r="J2" s="2"/>
      <c r="K2" s="2"/>
      <c r="L2" s="2"/>
      <c r="M2" s="2"/>
      <c r="N2" s="2"/>
      <c r="O2" s="2"/>
    </row>
    <row r="4" spans="1:15" ht="30" customHeight="1" x14ac:dyDescent="0.3">
      <c r="A4" s="5" t="s">
        <v>48</v>
      </c>
      <c r="B4" s="5" t="s">
        <v>49</v>
      </c>
      <c r="C4" s="5" t="s">
        <v>50</v>
      </c>
      <c r="D4" s="5" t="s">
        <v>51</v>
      </c>
      <c r="E4" s="5" t="s">
        <v>52</v>
      </c>
      <c r="F4" s="5" t="s">
        <v>53</v>
      </c>
      <c r="G4" s="5" t="s">
        <v>54</v>
      </c>
      <c r="H4" s="5" t="s">
        <v>55</v>
      </c>
      <c r="I4" s="5" t="s">
        <v>56</v>
      </c>
      <c r="J4" s="5" t="s">
        <v>57</v>
      </c>
      <c r="K4" s="5" t="s">
        <v>58</v>
      </c>
      <c r="L4" s="5" t="s">
        <v>59</v>
      </c>
      <c r="M4" s="5" t="s">
        <v>60</v>
      </c>
      <c r="N4" s="5" t="s">
        <v>61</v>
      </c>
      <c r="O4" s="5" t="s">
        <v>62</v>
      </c>
    </row>
    <row r="5" spans="1:15" ht="19.5" customHeight="1" x14ac:dyDescent="0.3">
      <c r="A5" s="1" t="str">
        <f>"TV1 – "&amp;'Thành viên'!B4&amp;" – "&amp;'Thành viên'!E4</f>
        <v>TV1 – Phạm Ngọc Trung – Backend, AI, triển khai</v>
      </c>
      <c r="B5" s="1"/>
      <c r="C5" s="1"/>
      <c r="D5" s="1"/>
      <c r="E5" s="1"/>
      <c r="F5" s="1"/>
      <c r="G5" s="1"/>
      <c r="H5" s="1"/>
      <c r="I5" s="1"/>
      <c r="J5" s="1"/>
      <c r="K5" s="1"/>
      <c r="L5" s="1"/>
      <c r="M5" s="1"/>
      <c r="N5" s="1"/>
      <c r="O5" s="1"/>
    </row>
    <row r="6" spans="1:15" ht="148.5" customHeight="1" x14ac:dyDescent="0.3">
      <c r="A6" s="19" t="s">
        <v>63</v>
      </c>
      <c r="B6" s="20" t="s">
        <v>64</v>
      </c>
      <c r="C6" s="21" t="s">
        <v>65</v>
      </c>
      <c r="D6" s="21" t="s">
        <v>66</v>
      </c>
      <c r="E6" s="21" t="s">
        <v>67</v>
      </c>
      <c r="F6" s="21" t="s">
        <v>68</v>
      </c>
      <c r="G6" s="21" t="s">
        <v>69</v>
      </c>
      <c r="H6" s="19" t="s">
        <v>6</v>
      </c>
      <c r="I6" s="21" t="str">
        <f>IF(H6="","",IFERROR(IF(INDEX('Thành viên'!$B$4:$B$6,MATCH(H6,'Thành viên'!$A$4:$A$6,0))="","",INDEX('Thành viên'!$B$4:$B$6,MATCH(H6,'Thành viên'!$A$4:$A$6,0))),""))</f>
        <v>Phạm Ngọc Trung</v>
      </c>
      <c r="J6" s="19" t="s">
        <v>15</v>
      </c>
      <c r="K6" s="21" t="str">
        <f>IF(J6="","",IFERROR(IF(INDEX('Thành viên'!$B$4:$B$6,MATCH(J6,'Thành viên'!$A$4:$A$6,0))="","",INDEX('Thành viên'!$B$4:$B$6,MATCH(J6,'Thành viên'!$A$4:$A$6,0))),""))</f>
        <v>Nguyễn Văn Thu</v>
      </c>
      <c r="L6" s="22"/>
      <c r="M6" s="22"/>
      <c r="N6" s="19" t="s">
        <v>25</v>
      </c>
      <c r="O6" s="21"/>
    </row>
    <row r="7" spans="1:15" ht="96.75" customHeight="1" x14ac:dyDescent="0.3">
      <c r="A7" s="19" t="s">
        <v>70</v>
      </c>
      <c r="B7" s="20" t="s">
        <v>71</v>
      </c>
      <c r="C7" s="21" t="s">
        <v>72</v>
      </c>
      <c r="D7" s="21" t="s">
        <v>73</v>
      </c>
      <c r="E7" s="21" t="s">
        <v>74</v>
      </c>
      <c r="F7" s="21" t="s">
        <v>75</v>
      </c>
      <c r="G7" s="21" t="s">
        <v>76</v>
      </c>
      <c r="H7" s="19" t="s">
        <v>6</v>
      </c>
      <c r="I7" s="21" t="str">
        <f>IF(H7="","",IFERROR(IF(INDEX('Thành viên'!$B$4:$B$6,MATCH(H7,'Thành viên'!$A$4:$A$6,0))="","",INDEX('Thành viên'!$B$4:$B$6,MATCH(H7,'Thành viên'!$A$4:$A$6,0))),""))</f>
        <v>Phạm Ngọc Trung</v>
      </c>
      <c r="J7" s="19"/>
      <c r="K7" s="21" t="str">
        <f>IF(J7="","",IFERROR(IF(INDEX('Thành viên'!$B$4:$B$6,MATCH(J7,'Thành viên'!$A$4:$A$6,0))="","",INDEX('Thành viên'!$B$4:$B$6,MATCH(J7,'Thành viên'!$A$4:$A$6,0))),""))</f>
        <v/>
      </c>
      <c r="L7" s="22"/>
      <c r="M7" s="22"/>
      <c r="N7" s="19" t="s">
        <v>25</v>
      </c>
      <c r="O7" s="21"/>
    </row>
    <row r="8" spans="1:15" ht="109.5" customHeight="1" x14ac:dyDescent="0.3">
      <c r="A8" s="19" t="s">
        <v>77</v>
      </c>
      <c r="B8" s="20" t="s">
        <v>78</v>
      </c>
      <c r="C8" s="21" t="s">
        <v>79</v>
      </c>
      <c r="D8" s="21" t="s">
        <v>80</v>
      </c>
      <c r="E8" s="21" t="s">
        <v>81</v>
      </c>
      <c r="F8" s="21" t="s">
        <v>82</v>
      </c>
      <c r="G8" s="21" t="s">
        <v>76</v>
      </c>
      <c r="H8" s="19" t="s">
        <v>6</v>
      </c>
      <c r="I8" s="21" t="str">
        <f>IF(H8="","",IFERROR(IF(INDEX('Thành viên'!$B$4:$B$6,MATCH(H8,'Thành viên'!$A$4:$A$6,0))="","",INDEX('Thành viên'!$B$4:$B$6,MATCH(H8,'Thành viên'!$A$4:$A$6,0))),""))</f>
        <v>Phạm Ngọc Trung</v>
      </c>
      <c r="J8" s="19"/>
      <c r="K8" s="21" t="str">
        <f>IF(J8="","",IFERROR(IF(INDEX('Thành viên'!$B$4:$B$6,MATCH(J8,'Thành viên'!$A$4:$A$6,0))="","",INDEX('Thành viên'!$B$4:$B$6,MATCH(J8,'Thành viên'!$A$4:$A$6,0))),""))</f>
        <v/>
      </c>
      <c r="L8" s="22"/>
      <c r="M8" s="22"/>
      <c r="N8" s="19" t="s">
        <v>25</v>
      </c>
      <c r="O8" s="21"/>
    </row>
    <row r="9" spans="1:15" ht="19.5" customHeight="1" x14ac:dyDescent="0.3">
      <c r="A9" s="1" t="str">
        <f>"TV2 – "&amp;'Thành viên'!B5&amp;" – "&amp;'Thành viên'!E5</f>
        <v>TV2 – Trần Quốc Anh Hoàng – Frontend, giao diện</v>
      </c>
      <c r="B9" s="1"/>
      <c r="C9" s="1"/>
      <c r="D9" s="1"/>
      <c r="E9" s="1"/>
      <c r="F9" s="1"/>
      <c r="G9" s="1"/>
      <c r="H9" s="1"/>
      <c r="I9" s="1"/>
      <c r="J9" s="1"/>
      <c r="K9" s="1"/>
      <c r="L9" s="1"/>
      <c r="M9" s="1"/>
      <c r="N9" s="1"/>
      <c r="O9" s="1"/>
    </row>
    <row r="10" spans="1:15" ht="84" customHeight="1" x14ac:dyDescent="0.3">
      <c r="A10" s="19" t="s">
        <v>83</v>
      </c>
      <c r="B10" s="20" t="s">
        <v>84</v>
      </c>
      <c r="C10" s="21" t="s">
        <v>85</v>
      </c>
      <c r="D10" s="21" t="s">
        <v>76</v>
      </c>
      <c r="E10" s="21" t="s">
        <v>86</v>
      </c>
      <c r="F10" s="21" t="s">
        <v>87</v>
      </c>
      <c r="G10" s="21" t="s">
        <v>76</v>
      </c>
      <c r="H10" s="19" t="s">
        <v>11</v>
      </c>
      <c r="I10" s="21" t="str">
        <f>IF(H10="","",IFERROR(IF(INDEX('Thành viên'!$B$4:$B$6,MATCH(H10,'Thành viên'!$A$4:$A$6,0))="","",INDEX('Thành viên'!$B$4:$B$6,MATCH(H10,'Thành viên'!$A$4:$A$6,0))),""))</f>
        <v>Trần Quốc Anh Hoàng</v>
      </c>
      <c r="J10" s="19" t="s">
        <v>6</v>
      </c>
      <c r="K10" s="21" t="str">
        <f>IF(J10="","",IFERROR(IF(INDEX('Thành viên'!$B$4:$B$6,MATCH(J10,'Thành viên'!$A$4:$A$6,0))="","",INDEX('Thành viên'!$B$4:$B$6,MATCH(J10,'Thành viên'!$A$4:$A$6,0))),""))</f>
        <v>Phạm Ngọc Trung</v>
      </c>
      <c r="L10" s="22"/>
      <c r="M10" s="22"/>
      <c r="N10" s="19" t="s">
        <v>25</v>
      </c>
      <c r="O10" s="21"/>
    </row>
    <row r="11" spans="1:15" ht="135.75" customHeight="1" x14ac:dyDescent="0.3">
      <c r="A11" s="19" t="s">
        <v>88</v>
      </c>
      <c r="B11" s="20" t="s">
        <v>89</v>
      </c>
      <c r="C11" s="21" t="s">
        <v>90</v>
      </c>
      <c r="D11" s="21" t="s">
        <v>76</v>
      </c>
      <c r="E11" s="21" t="s">
        <v>91</v>
      </c>
      <c r="F11" s="21" t="s">
        <v>92</v>
      </c>
      <c r="G11" s="21" t="s">
        <v>76</v>
      </c>
      <c r="H11" s="19" t="s">
        <v>11</v>
      </c>
      <c r="I11" s="21" t="str">
        <f>IF(H11="","",IFERROR(IF(INDEX('Thành viên'!$B$4:$B$6,MATCH(H11,'Thành viên'!$A$4:$A$6,0))="","",INDEX('Thành viên'!$B$4:$B$6,MATCH(H11,'Thành viên'!$A$4:$A$6,0))),""))</f>
        <v>Trần Quốc Anh Hoàng</v>
      </c>
      <c r="J11" s="19" t="s">
        <v>6</v>
      </c>
      <c r="K11" s="21" t="str">
        <f>IF(J11="","",IFERROR(IF(INDEX('Thành viên'!$B$4:$B$6,MATCH(J11,'Thành viên'!$A$4:$A$6,0))="","",INDEX('Thành viên'!$B$4:$B$6,MATCH(J11,'Thành viên'!$A$4:$A$6,0))),""))</f>
        <v>Phạm Ngọc Trung</v>
      </c>
      <c r="L11" s="22"/>
      <c r="M11" s="22"/>
      <c r="N11" s="19" t="s">
        <v>25</v>
      </c>
      <c r="O11" s="21"/>
    </row>
    <row r="12" spans="1:15" ht="19.5" customHeight="1" x14ac:dyDescent="0.3">
      <c r="A12" s="1" t="str">
        <f>"TV3 – "&amp;'Thành viên'!B6&amp;" – "&amp;'Thành viên'!E6</f>
        <v>TV3 – Nguyễn Văn Thu – Phân tích nghiệp vụ, kiểm thử, tài liệu</v>
      </c>
      <c r="B12" s="1"/>
      <c r="C12" s="1"/>
      <c r="D12" s="1"/>
      <c r="E12" s="1"/>
      <c r="F12" s="1"/>
      <c r="G12" s="1"/>
      <c r="H12" s="1"/>
      <c r="I12" s="1"/>
      <c r="J12" s="1"/>
      <c r="K12" s="1"/>
      <c r="L12" s="1"/>
      <c r="M12" s="1"/>
      <c r="N12" s="1"/>
      <c r="O12" s="1"/>
    </row>
    <row r="13" spans="1:15" ht="135.75" customHeight="1" x14ac:dyDescent="0.3">
      <c r="A13" s="19" t="s">
        <v>93</v>
      </c>
      <c r="B13" s="20" t="s">
        <v>94</v>
      </c>
      <c r="C13" s="21" t="s">
        <v>95</v>
      </c>
      <c r="D13" s="21" t="s">
        <v>96</v>
      </c>
      <c r="E13" s="21" t="s">
        <v>97</v>
      </c>
      <c r="F13" s="21" t="s">
        <v>98</v>
      </c>
      <c r="G13" s="21" t="s">
        <v>76</v>
      </c>
      <c r="H13" s="19" t="s">
        <v>15</v>
      </c>
      <c r="I13" s="21" t="str">
        <f>IF(H13="","",IFERROR(IF(INDEX('Thành viên'!$B$4:$B$6,MATCH(H13,'Thành viên'!$A$4:$A$6,0))="","",INDEX('Thành viên'!$B$4:$B$6,MATCH(H13,'Thành viên'!$A$4:$A$6,0))),""))</f>
        <v>Nguyễn Văn Thu</v>
      </c>
      <c r="J13" s="19" t="s">
        <v>6</v>
      </c>
      <c r="K13" s="21" t="str">
        <f>IF(J13="","",IFERROR(IF(INDEX('Thành viên'!$B$4:$B$6,MATCH(J13,'Thành viên'!$A$4:$A$6,0))="","",INDEX('Thành viên'!$B$4:$B$6,MATCH(J13,'Thành viên'!$A$4:$A$6,0))),""))</f>
        <v>Phạm Ngọc Trung</v>
      </c>
      <c r="L13" s="22"/>
      <c r="M13" s="22"/>
      <c r="N13" s="19" t="s">
        <v>25</v>
      </c>
      <c r="O13" s="21"/>
    </row>
  </sheetData>
  <mergeCells count="4">
    <mergeCell ref="A2:O2"/>
    <mergeCell ref="A5:O5"/>
    <mergeCell ref="A9:O9"/>
    <mergeCell ref="A12:O12"/>
  </mergeCells>
  <dataValidations count="2">
    <dataValidation type="list" showErrorMessage="1" errorTitle="Trạng thái" error="Chọn: Chưa làm, Đang làm hoặc Đã làm." sqref="N6:N8 N10:N11 N13" xr:uid="{00000000-0002-0000-0200-000000000000}">
      <formula1>"Chưa làm,Đang làm,Đã làm"</formula1>
      <formula2>0</formula2>
    </dataValidation>
    <dataValidation type="date" operator="greaterThan" allowBlank="1" showErrorMessage="1" errorTitle="Ngày" error="Nhập ngày dạng dd/mm/yyyy." sqref="L6:M8 L10:M11 L13:M13" xr:uid="{00000000-0002-0000-0200-000002000000}">
      <formula1>DATE(2026,1,1)</formula1>
      <formula2>0</formula2>
    </dataValidation>
  </dataValidations>
  <pageMargins left="0.3" right="0.3"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200-000001000000}">
          <x14:formula1>
            <xm:f>'Thành viên'!$A$4:$A$6</xm:f>
          </x14:formula1>
          <x14:formula2>
            <xm:f>0</xm:f>
          </x14:formula2>
          <xm:sqref>H6:H8 J6:J8 H10:H11 J10:J11 H13 J13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6"/>
  <sheetViews>
    <sheetView showGridLines="0" zoomScale="93" zoomScaleNormal="41" workbookViewId="0">
      <pane xSplit="2" ySplit="4" topLeftCell="F5" activePane="bottomRight" state="frozen"/>
      <selection pane="topRight" activeCell="C1" sqref="C1"/>
      <selection pane="bottomLeft" activeCell="A5" sqref="A5"/>
      <selection pane="bottomRight" activeCell="A2" sqref="A2:XFD2"/>
    </sheetView>
  </sheetViews>
  <sheetFormatPr defaultColWidth="8.6640625" defaultRowHeight="14.4" x14ac:dyDescent="0.3"/>
  <cols>
    <col min="1" max="1" width="8" customWidth="1"/>
    <col min="2" max="2" width="24" customWidth="1"/>
    <col min="3" max="3" width="62" customWidth="1"/>
    <col min="4" max="4" width="22" customWidth="1"/>
    <col min="5" max="5" width="24" customWidth="1"/>
    <col min="6" max="6" width="30" customWidth="1"/>
    <col min="7" max="7" width="18" customWidth="1"/>
    <col min="8" max="8" width="7" hidden="1" customWidth="1"/>
    <col min="9" max="9" width="18" customWidth="1"/>
    <col min="10" max="10" width="9" hidden="1" customWidth="1"/>
    <col min="11" max="11" width="18" hidden="1" customWidth="1"/>
    <col min="12" max="13" width="11" hidden="1" customWidth="1"/>
    <col min="14" max="14" width="12" customWidth="1"/>
    <col min="15" max="15" width="22" customWidth="1"/>
  </cols>
  <sheetData>
    <row r="1" spans="1:15" ht="16.8" x14ac:dyDescent="0.3">
      <c r="A1" s="4" t="s">
        <v>99</v>
      </c>
    </row>
    <row r="2" spans="1:15" ht="27.75" hidden="1" customHeight="1" x14ac:dyDescent="0.3">
      <c r="A2" s="2" t="s">
        <v>100</v>
      </c>
      <c r="B2" s="2"/>
      <c r="C2" s="2"/>
      <c r="D2" s="2"/>
      <c r="E2" s="2"/>
      <c r="F2" s="2"/>
      <c r="G2" s="2"/>
      <c r="H2" s="2"/>
      <c r="I2" s="2"/>
      <c r="J2" s="2"/>
      <c r="K2" s="2"/>
      <c r="L2" s="2"/>
      <c r="M2" s="2"/>
      <c r="N2" s="2"/>
      <c r="O2" s="2"/>
    </row>
    <row r="4" spans="1:15" ht="30" customHeight="1" x14ac:dyDescent="0.3">
      <c r="A4" s="5" t="s">
        <v>48</v>
      </c>
      <c r="B4" s="5" t="s">
        <v>49</v>
      </c>
      <c r="C4" s="5" t="s">
        <v>50</v>
      </c>
      <c r="D4" s="5" t="s">
        <v>51</v>
      </c>
      <c r="E4" s="5" t="s">
        <v>52</v>
      </c>
      <c r="F4" s="5" t="s">
        <v>53</v>
      </c>
      <c r="G4" s="5" t="s">
        <v>54</v>
      </c>
      <c r="H4" s="5" t="s">
        <v>55</v>
      </c>
      <c r="I4" s="5" t="s">
        <v>56</v>
      </c>
      <c r="J4" s="5" t="s">
        <v>57</v>
      </c>
      <c r="K4" s="5" t="s">
        <v>58</v>
      </c>
      <c r="L4" s="5" t="s">
        <v>59</v>
      </c>
      <c r="M4" s="5" t="s">
        <v>60</v>
      </c>
      <c r="N4" s="5" t="s">
        <v>61</v>
      </c>
      <c r="O4" s="5" t="s">
        <v>62</v>
      </c>
    </row>
    <row r="5" spans="1:15" ht="19.5" customHeight="1" x14ac:dyDescent="0.3">
      <c r="A5" s="1" t="str">
        <f>"TV1 – "&amp;'Thành viên'!B4&amp;" – "&amp;'Thành viên'!E4</f>
        <v>TV1 – Phạm Ngọc Trung – Backend, AI, triển khai</v>
      </c>
      <c r="B5" s="1"/>
      <c r="C5" s="1"/>
      <c r="D5" s="1"/>
      <c r="E5" s="1"/>
      <c r="F5" s="1"/>
      <c r="G5" s="1"/>
      <c r="H5" s="1"/>
      <c r="I5" s="1"/>
      <c r="J5" s="1"/>
      <c r="K5" s="1"/>
      <c r="L5" s="1"/>
      <c r="M5" s="1"/>
      <c r="N5" s="1"/>
      <c r="O5" s="1"/>
    </row>
    <row r="6" spans="1:15" ht="135.75" customHeight="1" x14ac:dyDescent="0.3">
      <c r="A6" s="19" t="s">
        <v>101</v>
      </c>
      <c r="B6" s="20" t="s">
        <v>102</v>
      </c>
      <c r="C6" s="21" t="s">
        <v>103</v>
      </c>
      <c r="D6" s="21" t="s">
        <v>104</v>
      </c>
      <c r="E6" s="21" t="s">
        <v>105</v>
      </c>
      <c r="F6" s="21" t="s">
        <v>106</v>
      </c>
      <c r="G6" s="21" t="s">
        <v>107</v>
      </c>
      <c r="H6" s="19" t="s">
        <v>6</v>
      </c>
      <c r="I6" s="21" t="str">
        <f>IF(H6="","",IFERROR(IF(INDEX('Thành viên'!$B$4:$B$6,MATCH(H6,'Thành viên'!$A$4:$A$6,0))="","",INDEX('Thành viên'!$B$4:$B$6,MATCH(H6,'Thành viên'!$A$4:$A$6,0))),""))</f>
        <v>Phạm Ngọc Trung</v>
      </c>
      <c r="J6" s="19" t="s">
        <v>15</v>
      </c>
      <c r="K6" s="21" t="str">
        <f>IF(J6="","",IFERROR(IF(INDEX('Thành viên'!$B$4:$B$6,MATCH(J6,'Thành viên'!$A$4:$A$6,0))="","",INDEX('Thành viên'!$B$4:$B$6,MATCH(J6,'Thành viên'!$A$4:$A$6,0))),""))</f>
        <v>Nguyễn Văn Thu</v>
      </c>
      <c r="L6" s="22"/>
      <c r="M6" s="22"/>
      <c r="N6" s="19" t="s">
        <v>25</v>
      </c>
      <c r="O6" s="21"/>
    </row>
    <row r="7" spans="1:15" ht="123" customHeight="1" x14ac:dyDescent="0.3">
      <c r="A7" s="19" t="s">
        <v>108</v>
      </c>
      <c r="B7" s="20" t="s">
        <v>109</v>
      </c>
      <c r="C7" s="21" t="s">
        <v>110</v>
      </c>
      <c r="D7" s="21" t="s">
        <v>111</v>
      </c>
      <c r="E7" s="21" t="s">
        <v>112</v>
      </c>
      <c r="F7" s="21" t="s">
        <v>113</v>
      </c>
      <c r="G7" s="21" t="s">
        <v>114</v>
      </c>
      <c r="H7" s="19" t="s">
        <v>6</v>
      </c>
      <c r="I7" s="21" t="str">
        <f>IF(H7="","",IFERROR(IF(INDEX('Thành viên'!$B$4:$B$6,MATCH(H7,'Thành viên'!$A$4:$A$6,0))="","",INDEX('Thành viên'!$B$4:$B$6,MATCH(H7,'Thành viên'!$A$4:$A$6,0))),""))</f>
        <v>Phạm Ngọc Trung</v>
      </c>
      <c r="J7" s="19" t="s">
        <v>15</v>
      </c>
      <c r="K7" s="21" t="str">
        <f>IF(J7="","",IFERROR(IF(INDEX('Thành viên'!$B$4:$B$6,MATCH(J7,'Thành viên'!$A$4:$A$6,0))="","",INDEX('Thành viên'!$B$4:$B$6,MATCH(J7,'Thành viên'!$A$4:$A$6,0))),""))</f>
        <v>Nguyễn Văn Thu</v>
      </c>
      <c r="L7" s="22"/>
      <c r="M7" s="22"/>
      <c r="N7" s="19" t="s">
        <v>25</v>
      </c>
      <c r="O7" s="21"/>
    </row>
    <row r="8" spans="1:15" ht="84" customHeight="1" x14ac:dyDescent="0.3">
      <c r="A8" s="19" t="s">
        <v>115</v>
      </c>
      <c r="B8" s="20" t="s">
        <v>116</v>
      </c>
      <c r="C8" s="21" t="s">
        <v>117</v>
      </c>
      <c r="D8" s="21" t="s">
        <v>118</v>
      </c>
      <c r="E8" s="21" t="s">
        <v>119</v>
      </c>
      <c r="F8" s="21" t="s">
        <v>120</v>
      </c>
      <c r="G8" s="21" t="s">
        <v>121</v>
      </c>
      <c r="H8" s="19" t="s">
        <v>6</v>
      </c>
      <c r="I8" s="21" t="str">
        <f>IF(H8="","",IFERROR(IF(INDEX('Thành viên'!$B$4:$B$6,MATCH(H8,'Thành viên'!$A$4:$A$6,0))="","",INDEX('Thành viên'!$B$4:$B$6,MATCH(H8,'Thành viên'!$A$4:$A$6,0))),""))</f>
        <v>Phạm Ngọc Trung</v>
      </c>
      <c r="J8" s="19" t="s">
        <v>15</v>
      </c>
      <c r="K8" s="21" t="str">
        <f>IF(J8="","",IFERROR(IF(INDEX('Thành viên'!$B$4:$B$6,MATCH(J8,'Thành viên'!$A$4:$A$6,0))="","",INDEX('Thành viên'!$B$4:$B$6,MATCH(J8,'Thành viên'!$A$4:$A$6,0))),""))</f>
        <v>Nguyễn Văn Thu</v>
      </c>
      <c r="L8" s="22"/>
      <c r="M8" s="22"/>
      <c r="N8" s="19" t="s">
        <v>25</v>
      </c>
      <c r="O8" s="21"/>
    </row>
    <row r="9" spans="1:15" ht="19.5" customHeight="1" x14ac:dyDescent="0.3">
      <c r="A9" s="1" t="str">
        <f>"TV2 – "&amp;'Thành viên'!B5&amp;" – "&amp;'Thành viên'!E5</f>
        <v>TV2 – Trần Quốc Anh Hoàng – Frontend, giao diện</v>
      </c>
      <c r="B9" s="1"/>
      <c r="C9" s="1"/>
      <c r="D9" s="1"/>
      <c r="E9" s="1"/>
      <c r="F9" s="1"/>
      <c r="G9" s="1"/>
      <c r="H9" s="1"/>
      <c r="I9" s="1"/>
      <c r="J9" s="1"/>
      <c r="K9" s="1"/>
      <c r="L9" s="1"/>
      <c r="M9" s="1"/>
      <c r="N9" s="1"/>
      <c r="O9" s="1"/>
    </row>
    <row r="10" spans="1:15" ht="123" customHeight="1" x14ac:dyDescent="0.3">
      <c r="A10" s="19" t="s">
        <v>122</v>
      </c>
      <c r="B10" s="20" t="s">
        <v>123</v>
      </c>
      <c r="C10" s="21" t="s">
        <v>124</v>
      </c>
      <c r="D10" s="21" t="s">
        <v>125</v>
      </c>
      <c r="E10" s="21" t="s">
        <v>126</v>
      </c>
      <c r="F10" s="21" t="s">
        <v>127</v>
      </c>
      <c r="G10" s="21" t="s">
        <v>128</v>
      </c>
      <c r="H10" s="19" t="s">
        <v>11</v>
      </c>
      <c r="I10" s="21" t="str">
        <f>IF(H10="","",IFERROR(IF(INDEX('Thành viên'!$B$4:$B$6,MATCH(H10,'Thành viên'!$A$4:$A$6,0))="","",INDEX('Thành viên'!$B$4:$B$6,MATCH(H10,'Thành viên'!$A$4:$A$6,0))),""))</f>
        <v>Trần Quốc Anh Hoàng</v>
      </c>
      <c r="J10" s="19" t="s">
        <v>6</v>
      </c>
      <c r="K10" s="21" t="str">
        <f>IF(J10="","",IFERROR(IF(INDEX('Thành viên'!$B$4:$B$6,MATCH(J10,'Thành viên'!$A$4:$A$6,0))="","",INDEX('Thành viên'!$B$4:$B$6,MATCH(J10,'Thành viên'!$A$4:$A$6,0))),""))</f>
        <v>Phạm Ngọc Trung</v>
      </c>
      <c r="L10" s="22"/>
      <c r="M10" s="22"/>
      <c r="N10" s="19" t="s">
        <v>25</v>
      </c>
      <c r="O10" s="21"/>
    </row>
    <row r="11" spans="1:15" ht="84" customHeight="1" x14ac:dyDescent="0.3">
      <c r="A11" s="19" t="s">
        <v>129</v>
      </c>
      <c r="B11" s="20" t="s">
        <v>130</v>
      </c>
      <c r="C11" s="21" t="s">
        <v>131</v>
      </c>
      <c r="D11" s="21" t="s">
        <v>132</v>
      </c>
      <c r="E11" s="21" t="s">
        <v>133</v>
      </c>
      <c r="F11" s="21" t="s">
        <v>134</v>
      </c>
      <c r="G11" s="21" t="s">
        <v>135</v>
      </c>
      <c r="H11" s="19" t="s">
        <v>11</v>
      </c>
      <c r="I11" s="21" t="str">
        <f>IF(H11="","",IFERROR(IF(INDEX('Thành viên'!$B$4:$B$6,MATCH(H11,'Thành viên'!$A$4:$A$6,0))="","",INDEX('Thành viên'!$B$4:$B$6,MATCH(H11,'Thành viên'!$A$4:$A$6,0))),""))</f>
        <v>Trần Quốc Anh Hoàng</v>
      </c>
      <c r="J11" s="19" t="s">
        <v>6</v>
      </c>
      <c r="K11" s="21" t="str">
        <f>IF(J11="","",IFERROR(IF(INDEX('Thành viên'!$B$4:$B$6,MATCH(J11,'Thành viên'!$A$4:$A$6,0))="","",INDEX('Thành viên'!$B$4:$B$6,MATCH(J11,'Thành viên'!$A$4:$A$6,0))),""))</f>
        <v>Phạm Ngọc Trung</v>
      </c>
      <c r="L11" s="22"/>
      <c r="M11" s="22"/>
      <c r="N11" s="19" t="s">
        <v>25</v>
      </c>
      <c r="O11" s="21"/>
    </row>
    <row r="12" spans="1:15" ht="19.5" customHeight="1" x14ac:dyDescent="0.3">
      <c r="A12" s="1" t="str">
        <f>"TV3 – "&amp;'Thành viên'!B6&amp;" – "&amp;'Thành viên'!E6</f>
        <v>TV3 – Nguyễn Văn Thu – Phân tích nghiệp vụ, kiểm thử, tài liệu</v>
      </c>
      <c r="B12" s="1"/>
      <c r="C12" s="1"/>
      <c r="D12" s="1"/>
      <c r="E12" s="1"/>
      <c r="F12" s="1"/>
      <c r="G12" s="1"/>
      <c r="H12" s="1"/>
      <c r="I12" s="1"/>
      <c r="J12" s="1"/>
      <c r="K12" s="1"/>
      <c r="L12" s="1"/>
      <c r="M12" s="1"/>
      <c r="N12" s="1"/>
      <c r="O12" s="1"/>
    </row>
    <row r="13" spans="1:15" ht="96.75" customHeight="1" x14ac:dyDescent="0.3">
      <c r="A13" s="19" t="s">
        <v>136</v>
      </c>
      <c r="B13" s="20" t="s">
        <v>137</v>
      </c>
      <c r="C13" s="21" t="s">
        <v>138</v>
      </c>
      <c r="D13" s="21" t="s">
        <v>139</v>
      </c>
      <c r="E13" s="21" t="s">
        <v>140</v>
      </c>
      <c r="F13" s="21" t="s">
        <v>141</v>
      </c>
      <c r="G13" s="21" t="s">
        <v>142</v>
      </c>
      <c r="H13" s="19" t="s">
        <v>15</v>
      </c>
      <c r="I13" s="21" t="str">
        <f>IF(H13="","",IFERROR(IF(INDEX('Thành viên'!$B$4:$B$6,MATCH(H13,'Thành viên'!$A$4:$A$6,0))="","",INDEX('Thành viên'!$B$4:$B$6,MATCH(H13,'Thành viên'!$A$4:$A$6,0))),""))</f>
        <v>Nguyễn Văn Thu</v>
      </c>
      <c r="J13" s="19" t="s">
        <v>6</v>
      </c>
      <c r="K13" s="21" t="str">
        <f>IF(J13="","",IFERROR(IF(INDEX('Thành viên'!$B$4:$B$6,MATCH(J13,'Thành viên'!$A$4:$A$6,0))="","",INDEX('Thành viên'!$B$4:$B$6,MATCH(J13,'Thành viên'!$A$4:$A$6,0))),""))</f>
        <v>Phạm Ngọc Trung</v>
      </c>
      <c r="L13" s="22"/>
      <c r="M13" s="22"/>
      <c r="N13" s="19" t="s">
        <v>25</v>
      </c>
      <c r="O13" s="21"/>
    </row>
    <row r="14" spans="1:15" ht="148.5" customHeight="1" x14ac:dyDescent="0.3">
      <c r="A14" s="19" t="s">
        <v>143</v>
      </c>
      <c r="B14" s="20" t="s">
        <v>144</v>
      </c>
      <c r="C14" s="21" t="s">
        <v>145</v>
      </c>
      <c r="D14" s="21" t="s">
        <v>146</v>
      </c>
      <c r="E14" s="21" t="s">
        <v>147</v>
      </c>
      <c r="F14" s="21" t="s">
        <v>148</v>
      </c>
      <c r="G14" s="21" t="s">
        <v>149</v>
      </c>
      <c r="H14" s="19" t="s">
        <v>15</v>
      </c>
      <c r="I14" s="21" t="str">
        <f>IF(H14="","",IFERROR(IF(INDEX('Thành viên'!$B$4:$B$6,MATCH(H14,'Thành viên'!$A$4:$A$6,0))="","",INDEX('Thành viên'!$B$4:$B$6,MATCH(H14,'Thành viên'!$A$4:$A$6,0))),""))</f>
        <v>Nguyễn Văn Thu</v>
      </c>
      <c r="J14" s="19" t="s">
        <v>6</v>
      </c>
      <c r="K14" s="21" t="str">
        <f>IF(J14="","",IFERROR(IF(INDEX('Thành viên'!$B$4:$B$6,MATCH(J14,'Thành viên'!$A$4:$A$6,0))="","",INDEX('Thành viên'!$B$4:$B$6,MATCH(J14,'Thành viên'!$A$4:$A$6,0))),""))</f>
        <v>Phạm Ngọc Trung</v>
      </c>
      <c r="L14" s="22"/>
      <c r="M14" s="22"/>
      <c r="N14" s="19" t="s">
        <v>25</v>
      </c>
      <c r="O14" s="21"/>
    </row>
    <row r="15" spans="1:15" ht="70.5" customHeight="1" x14ac:dyDescent="0.3">
      <c r="A15" s="19" t="s">
        <v>150</v>
      </c>
      <c r="B15" s="20" t="s">
        <v>151</v>
      </c>
      <c r="C15" s="21" t="s">
        <v>152</v>
      </c>
      <c r="D15" s="21" t="s">
        <v>153</v>
      </c>
      <c r="E15" s="21" t="s">
        <v>154</v>
      </c>
      <c r="F15" s="21" t="s">
        <v>155</v>
      </c>
      <c r="G15" s="21" t="s">
        <v>156</v>
      </c>
      <c r="H15" s="19" t="s">
        <v>15</v>
      </c>
      <c r="I15" s="21" t="str">
        <f>IF(H15="","",IFERROR(IF(INDEX('Thành viên'!$B$4:$B$6,MATCH(H15,'Thành viên'!$A$4:$A$6,0))="","",INDEX('Thành viên'!$B$4:$B$6,MATCH(H15,'Thành viên'!$A$4:$A$6,0))),""))</f>
        <v>Nguyễn Văn Thu</v>
      </c>
      <c r="J15" s="19" t="s">
        <v>6</v>
      </c>
      <c r="K15" s="21" t="str">
        <f>IF(J15="","",IFERROR(IF(INDEX('Thành viên'!$B$4:$B$6,MATCH(J15,'Thành viên'!$A$4:$A$6,0))="","",INDEX('Thành viên'!$B$4:$B$6,MATCH(J15,'Thành viên'!$A$4:$A$6,0))),""))</f>
        <v>Phạm Ngọc Trung</v>
      </c>
      <c r="L15" s="22"/>
      <c r="M15" s="22"/>
      <c r="N15" s="19" t="s">
        <v>25</v>
      </c>
      <c r="O15" s="21"/>
    </row>
    <row r="16" spans="1:15" ht="148.5" customHeight="1" x14ac:dyDescent="0.3">
      <c r="A16" s="19" t="s">
        <v>157</v>
      </c>
      <c r="B16" s="20" t="s">
        <v>158</v>
      </c>
      <c r="C16" s="21" t="s">
        <v>159</v>
      </c>
      <c r="D16" s="21" t="s">
        <v>160</v>
      </c>
      <c r="E16" s="21" t="s">
        <v>161</v>
      </c>
      <c r="F16" s="21" t="s">
        <v>162</v>
      </c>
      <c r="G16" s="21" t="s">
        <v>163</v>
      </c>
      <c r="H16" s="19" t="s">
        <v>15</v>
      </c>
      <c r="I16" s="21" t="str">
        <f>IF(H16="","",IFERROR(IF(INDEX('Thành viên'!$B$4:$B$6,MATCH(H16,'Thành viên'!$A$4:$A$6,0))="","",INDEX('Thành viên'!$B$4:$B$6,MATCH(H16,'Thành viên'!$A$4:$A$6,0))),""))</f>
        <v>Nguyễn Văn Thu</v>
      </c>
      <c r="J16" s="19" t="s">
        <v>6</v>
      </c>
      <c r="K16" s="21" t="str">
        <f>IF(J16="","",IFERROR(IF(INDEX('Thành viên'!$B$4:$B$6,MATCH(J16,'Thành viên'!$A$4:$A$6,0))="","",INDEX('Thành viên'!$B$4:$B$6,MATCH(J16,'Thành viên'!$A$4:$A$6,0))),""))</f>
        <v>Phạm Ngọc Trung</v>
      </c>
      <c r="L16" s="22"/>
      <c r="M16" s="22"/>
      <c r="N16" s="19" t="s">
        <v>25</v>
      </c>
      <c r="O16" s="21"/>
    </row>
  </sheetData>
  <mergeCells count="4">
    <mergeCell ref="A2:O2"/>
    <mergeCell ref="A5:O5"/>
    <mergeCell ref="A9:O9"/>
    <mergeCell ref="A12:O12"/>
  </mergeCells>
  <dataValidations count="2">
    <dataValidation type="list" showErrorMessage="1" errorTitle="Trạng thái" error="Chọn: Chưa làm, Đang làm hoặc Đã làm." sqref="N6:N8 N10:N11 N13:N16" xr:uid="{00000000-0002-0000-0300-000000000000}">
      <formula1>"Chưa làm,Đang làm,Đã làm"</formula1>
      <formula2>0</formula2>
    </dataValidation>
    <dataValidation type="date" operator="greaterThan" allowBlank="1" showErrorMessage="1" errorTitle="Ngày" error="Nhập ngày dạng dd/mm/yyyy." sqref="L6:M8 L10:M11 L13:M16" xr:uid="{00000000-0002-0000-0300-000002000000}">
      <formula1>DATE(2026,1,1)</formula1>
      <formula2>0</formula2>
    </dataValidation>
  </dataValidations>
  <pageMargins left="0.3" right="0.3"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300-000001000000}">
          <x14:formula1>
            <xm:f>'Thành viên'!$A$4:$A$6</xm:f>
          </x14:formula1>
          <x14:formula2>
            <xm:f>0</xm:f>
          </x14:formula2>
          <xm:sqref>H6:H8 J6:J8 H10:H11 J10:J11 H13:H16 J13:J16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18"/>
  <sheetViews>
    <sheetView showGridLines="0" zoomScale="58" zoomScaleNormal="100" workbookViewId="0">
      <pane xSplit="2" ySplit="4" topLeftCell="C7" activePane="bottomRight" state="frozen"/>
      <selection pane="topRight" activeCell="C1" sqref="C1"/>
      <selection pane="bottomLeft" activeCell="A5" sqref="A5"/>
      <selection pane="bottomRight" activeCell="A2" sqref="A2:XFD2"/>
    </sheetView>
  </sheetViews>
  <sheetFormatPr defaultColWidth="8.6640625" defaultRowHeight="14.4" x14ac:dyDescent="0.3"/>
  <cols>
    <col min="1" max="1" width="8" customWidth="1"/>
    <col min="2" max="2" width="24" customWidth="1"/>
    <col min="3" max="3" width="62" customWidth="1"/>
    <col min="4" max="4" width="22" customWidth="1"/>
    <col min="5" max="5" width="24" customWidth="1"/>
    <col min="6" max="6" width="30" customWidth="1"/>
    <col min="7" max="7" width="18" customWidth="1"/>
    <col min="8" max="8" width="7" hidden="1" customWidth="1"/>
    <col min="9" max="9" width="18" customWidth="1"/>
    <col min="10" max="10" width="9" hidden="1" customWidth="1"/>
    <col min="11" max="11" width="18" hidden="1" customWidth="1"/>
    <col min="12" max="13" width="11" hidden="1" customWidth="1"/>
    <col min="14" max="14" width="12" customWidth="1"/>
    <col min="15" max="15" width="22" customWidth="1"/>
  </cols>
  <sheetData>
    <row r="1" spans="1:15" ht="16.8" x14ac:dyDescent="0.3">
      <c r="A1" s="4" t="s">
        <v>164</v>
      </c>
    </row>
    <row r="2" spans="1:15" ht="27.75" hidden="1" customHeight="1" x14ac:dyDescent="0.3">
      <c r="A2" s="2" t="s">
        <v>165</v>
      </c>
      <c r="B2" s="2"/>
      <c r="C2" s="2"/>
      <c r="D2" s="2"/>
      <c r="E2" s="2"/>
      <c r="F2" s="2"/>
      <c r="G2" s="2"/>
      <c r="H2" s="2"/>
      <c r="I2" s="2"/>
      <c r="J2" s="2"/>
      <c r="K2" s="2"/>
      <c r="L2" s="2"/>
      <c r="M2" s="2"/>
      <c r="N2" s="2"/>
      <c r="O2" s="2"/>
    </row>
    <row r="4" spans="1:15" ht="30" customHeight="1" x14ac:dyDescent="0.3">
      <c r="A4" s="5" t="s">
        <v>48</v>
      </c>
      <c r="B4" s="5" t="s">
        <v>49</v>
      </c>
      <c r="C4" s="5" t="s">
        <v>50</v>
      </c>
      <c r="D4" s="5" t="s">
        <v>51</v>
      </c>
      <c r="E4" s="5" t="s">
        <v>52</v>
      </c>
      <c r="F4" s="5" t="s">
        <v>53</v>
      </c>
      <c r="G4" s="5" t="s">
        <v>54</v>
      </c>
      <c r="H4" s="5" t="s">
        <v>55</v>
      </c>
      <c r="I4" s="5" t="s">
        <v>56</v>
      </c>
      <c r="J4" s="5" t="s">
        <v>57</v>
      </c>
      <c r="K4" s="5" t="s">
        <v>58</v>
      </c>
      <c r="L4" s="5" t="s">
        <v>59</v>
      </c>
      <c r="M4" s="5" t="s">
        <v>60</v>
      </c>
      <c r="N4" s="5" t="s">
        <v>61</v>
      </c>
      <c r="O4" s="5" t="s">
        <v>62</v>
      </c>
    </row>
    <row r="5" spans="1:15" ht="19.5" customHeight="1" x14ac:dyDescent="0.3">
      <c r="A5" s="1" t="str">
        <f>"TV1 – "&amp;'Thành viên'!B4&amp;" – "&amp;'Thành viên'!E4</f>
        <v>TV1 – Phạm Ngọc Trung – Backend, AI, triển khai</v>
      </c>
      <c r="B5" s="1"/>
      <c r="C5" s="1"/>
      <c r="D5" s="1"/>
      <c r="E5" s="1"/>
      <c r="F5" s="1"/>
      <c r="G5" s="1"/>
      <c r="H5" s="1"/>
      <c r="I5" s="1"/>
      <c r="J5" s="1"/>
      <c r="K5" s="1"/>
      <c r="L5" s="1"/>
      <c r="M5" s="1"/>
      <c r="N5" s="1"/>
      <c r="O5" s="1"/>
    </row>
    <row r="6" spans="1:15" ht="123" customHeight="1" x14ac:dyDescent="0.3">
      <c r="A6" s="19" t="s">
        <v>166</v>
      </c>
      <c r="B6" s="20" t="s">
        <v>167</v>
      </c>
      <c r="C6" s="21" t="s">
        <v>168</v>
      </c>
      <c r="D6" s="21" t="s">
        <v>169</v>
      </c>
      <c r="E6" s="21" t="s">
        <v>170</v>
      </c>
      <c r="F6" s="21" t="s">
        <v>171</v>
      </c>
      <c r="G6" s="21" t="s">
        <v>172</v>
      </c>
      <c r="H6" s="19" t="s">
        <v>6</v>
      </c>
      <c r="I6" s="21" t="str">
        <f>IF(H6="","",IFERROR(IF(INDEX('Thành viên'!$B$4:$B$6,MATCH(H6,'Thành viên'!$A$4:$A$6,0))="","",INDEX('Thành viên'!$B$4:$B$6,MATCH(H6,'Thành viên'!$A$4:$A$6,0))),""))</f>
        <v>Phạm Ngọc Trung</v>
      </c>
      <c r="J6" s="19" t="s">
        <v>15</v>
      </c>
      <c r="K6" s="21" t="str">
        <f>IF(J6="","",IFERROR(IF(INDEX('Thành viên'!$B$4:$B$6,MATCH(J6,'Thành viên'!$A$4:$A$6,0))="","",INDEX('Thành viên'!$B$4:$B$6,MATCH(J6,'Thành viên'!$A$4:$A$6,0))),""))</f>
        <v>Nguyễn Văn Thu</v>
      </c>
      <c r="L6" s="22"/>
      <c r="M6" s="22"/>
      <c r="N6" s="19" t="s">
        <v>25</v>
      </c>
      <c r="O6" s="21"/>
    </row>
    <row r="7" spans="1:15" ht="123" customHeight="1" x14ac:dyDescent="0.3">
      <c r="A7" s="19" t="s">
        <v>173</v>
      </c>
      <c r="B7" s="20" t="s">
        <v>174</v>
      </c>
      <c r="C7" s="21" t="s">
        <v>175</v>
      </c>
      <c r="D7" s="21" t="s">
        <v>176</v>
      </c>
      <c r="E7" s="21" t="s">
        <v>177</v>
      </c>
      <c r="F7" s="21" t="s">
        <v>178</v>
      </c>
      <c r="G7" s="21" t="s">
        <v>179</v>
      </c>
      <c r="H7" s="19" t="s">
        <v>6</v>
      </c>
      <c r="I7" s="21" t="str">
        <f>IF(H7="","",IFERROR(IF(INDEX('Thành viên'!$B$4:$B$6,MATCH(H7,'Thành viên'!$A$4:$A$6,0))="","",INDEX('Thành viên'!$B$4:$B$6,MATCH(H7,'Thành viên'!$A$4:$A$6,0))),""))</f>
        <v>Phạm Ngọc Trung</v>
      </c>
      <c r="J7" s="19" t="s">
        <v>15</v>
      </c>
      <c r="K7" s="21" t="str">
        <f>IF(J7="","",IFERROR(IF(INDEX('Thành viên'!$B$4:$B$6,MATCH(J7,'Thành viên'!$A$4:$A$6,0))="","",INDEX('Thành viên'!$B$4:$B$6,MATCH(J7,'Thành viên'!$A$4:$A$6,0))),""))</f>
        <v>Nguyễn Văn Thu</v>
      </c>
      <c r="L7" s="22"/>
      <c r="M7" s="22"/>
      <c r="N7" s="19" t="s">
        <v>25</v>
      </c>
      <c r="O7" s="21"/>
    </row>
    <row r="8" spans="1:15" ht="84" customHeight="1" x14ac:dyDescent="0.3">
      <c r="A8" s="19" t="s">
        <v>180</v>
      </c>
      <c r="B8" s="20" t="s">
        <v>181</v>
      </c>
      <c r="C8" s="21" t="s">
        <v>182</v>
      </c>
      <c r="D8" s="21" t="s">
        <v>183</v>
      </c>
      <c r="E8" s="21" t="s">
        <v>184</v>
      </c>
      <c r="F8" s="21" t="s">
        <v>185</v>
      </c>
      <c r="G8" s="21" t="s">
        <v>186</v>
      </c>
      <c r="H8" s="19" t="s">
        <v>6</v>
      </c>
      <c r="I8" s="21" t="str">
        <f>IF(H8="","",IFERROR(IF(INDEX('Thành viên'!$B$4:$B$6,MATCH(H8,'Thành viên'!$A$4:$A$6,0))="","",INDEX('Thành viên'!$B$4:$B$6,MATCH(H8,'Thành viên'!$A$4:$A$6,0))),""))</f>
        <v>Phạm Ngọc Trung</v>
      </c>
      <c r="J8" s="19" t="s">
        <v>11</v>
      </c>
      <c r="K8" s="21" t="str">
        <f>IF(J8="","",IFERROR(IF(INDEX('Thành viên'!$B$4:$B$6,MATCH(J8,'Thành viên'!$A$4:$A$6,0))="","",INDEX('Thành viên'!$B$4:$B$6,MATCH(J8,'Thành viên'!$A$4:$A$6,0))),""))</f>
        <v>Trần Quốc Anh Hoàng</v>
      </c>
      <c r="L8" s="22"/>
      <c r="M8" s="22"/>
      <c r="N8" s="19" t="s">
        <v>25</v>
      </c>
      <c r="O8" s="21"/>
    </row>
    <row r="9" spans="1:15" ht="123" customHeight="1" x14ac:dyDescent="0.3">
      <c r="A9" s="19" t="s">
        <v>187</v>
      </c>
      <c r="B9" s="20" t="s">
        <v>188</v>
      </c>
      <c r="C9" s="21" t="s">
        <v>189</v>
      </c>
      <c r="D9" s="21" t="s">
        <v>190</v>
      </c>
      <c r="E9" s="21" t="s">
        <v>191</v>
      </c>
      <c r="F9" s="21" t="s">
        <v>192</v>
      </c>
      <c r="G9" s="21" t="s">
        <v>121</v>
      </c>
      <c r="H9" s="19" t="s">
        <v>6</v>
      </c>
      <c r="I9" s="21" t="str">
        <f>IF(H9="","",IFERROR(IF(INDEX('Thành viên'!$B$4:$B$6,MATCH(H9,'Thành viên'!$A$4:$A$6,0))="","",INDEX('Thành viên'!$B$4:$B$6,MATCH(H9,'Thành viên'!$A$4:$A$6,0))),""))</f>
        <v>Phạm Ngọc Trung</v>
      </c>
      <c r="J9" s="19" t="s">
        <v>15</v>
      </c>
      <c r="K9" s="21" t="str">
        <f>IF(J9="","",IFERROR(IF(INDEX('Thành viên'!$B$4:$B$6,MATCH(J9,'Thành viên'!$A$4:$A$6,0))="","",INDEX('Thành viên'!$B$4:$B$6,MATCH(J9,'Thành viên'!$A$4:$A$6,0))),""))</f>
        <v>Nguyễn Văn Thu</v>
      </c>
      <c r="L9" s="22"/>
      <c r="M9" s="22"/>
      <c r="N9" s="19" t="s">
        <v>25</v>
      </c>
      <c r="O9" s="21"/>
    </row>
    <row r="10" spans="1:15" ht="19.5" customHeight="1" x14ac:dyDescent="0.3">
      <c r="A10" s="1" t="str">
        <f>"TV2 – "&amp;'Thành viên'!B5&amp;" – "&amp;'Thành viên'!E5</f>
        <v>TV2 – Trần Quốc Anh Hoàng – Frontend, giao diện</v>
      </c>
      <c r="B10" s="1"/>
      <c r="C10" s="1"/>
      <c r="D10" s="1"/>
      <c r="E10" s="1"/>
      <c r="F10" s="1"/>
      <c r="G10" s="1"/>
      <c r="H10" s="1"/>
      <c r="I10" s="1"/>
      <c r="J10" s="1"/>
      <c r="K10" s="1"/>
      <c r="L10" s="1"/>
      <c r="M10" s="1"/>
      <c r="N10" s="1"/>
      <c r="O10" s="1"/>
    </row>
    <row r="11" spans="1:15" ht="84" customHeight="1" x14ac:dyDescent="0.3">
      <c r="A11" s="19" t="s">
        <v>193</v>
      </c>
      <c r="B11" s="20" t="s">
        <v>194</v>
      </c>
      <c r="C11" s="21" t="s">
        <v>195</v>
      </c>
      <c r="D11" s="21" t="s">
        <v>196</v>
      </c>
      <c r="E11" s="21" t="s">
        <v>197</v>
      </c>
      <c r="F11" s="21" t="s">
        <v>198</v>
      </c>
      <c r="G11" s="21" t="s">
        <v>199</v>
      </c>
      <c r="H11" s="19" t="s">
        <v>11</v>
      </c>
      <c r="I11" s="21" t="str">
        <f>IF(H11="","",IFERROR(IF(INDEX('Thành viên'!$B$4:$B$6,MATCH(H11,'Thành viên'!$A$4:$A$6,0))="","",INDEX('Thành viên'!$B$4:$B$6,MATCH(H11,'Thành viên'!$A$4:$A$6,0))),""))</f>
        <v>Trần Quốc Anh Hoàng</v>
      </c>
      <c r="J11" s="19" t="s">
        <v>6</v>
      </c>
      <c r="K11" s="21" t="str">
        <f>IF(J11="","",IFERROR(IF(INDEX('Thành viên'!$B$4:$B$6,MATCH(J11,'Thành viên'!$A$4:$A$6,0))="","",INDEX('Thành viên'!$B$4:$B$6,MATCH(J11,'Thành viên'!$A$4:$A$6,0))),""))</f>
        <v>Phạm Ngọc Trung</v>
      </c>
      <c r="L11" s="22"/>
      <c r="M11" s="22"/>
      <c r="N11" s="19" t="s">
        <v>25</v>
      </c>
      <c r="O11" s="21"/>
    </row>
    <row r="12" spans="1:15" ht="109.5" customHeight="1" x14ac:dyDescent="0.3">
      <c r="A12" s="19" t="s">
        <v>200</v>
      </c>
      <c r="B12" s="20" t="s">
        <v>201</v>
      </c>
      <c r="C12" s="21" t="s">
        <v>202</v>
      </c>
      <c r="D12" s="21" t="s">
        <v>203</v>
      </c>
      <c r="E12" s="21" t="s">
        <v>204</v>
      </c>
      <c r="F12" s="21" t="s">
        <v>205</v>
      </c>
      <c r="G12" s="21" t="s">
        <v>206</v>
      </c>
      <c r="H12" s="19" t="s">
        <v>11</v>
      </c>
      <c r="I12" s="21" t="str">
        <f>IF(H12="","",IFERROR(IF(INDEX('Thành viên'!$B$4:$B$6,MATCH(H12,'Thành viên'!$A$4:$A$6,0))="","",INDEX('Thành viên'!$B$4:$B$6,MATCH(H12,'Thành viên'!$A$4:$A$6,0))),""))</f>
        <v>Trần Quốc Anh Hoàng</v>
      </c>
      <c r="J12" s="19" t="s">
        <v>6</v>
      </c>
      <c r="K12" s="21" t="str">
        <f>IF(J12="","",IFERROR(IF(INDEX('Thành viên'!$B$4:$B$6,MATCH(J12,'Thành viên'!$A$4:$A$6,0))="","",INDEX('Thành viên'!$B$4:$B$6,MATCH(J12,'Thành viên'!$A$4:$A$6,0))),""))</f>
        <v>Phạm Ngọc Trung</v>
      </c>
      <c r="L12" s="22"/>
      <c r="M12" s="22"/>
      <c r="N12" s="19" t="s">
        <v>25</v>
      </c>
      <c r="O12" s="21"/>
    </row>
    <row r="13" spans="1:15" ht="96.75" customHeight="1" x14ac:dyDescent="0.3">
      <c r="A13" s="19" t="s">
        <v>207</v>
      </c>
      <c r="B13" s="20" t="s">
        <v>208</v>
      </c>
      <c r="C13" s="21" t="s">
        <v>209</v>
      </c>
      <c r="D13" s="21" t="s">
        <v>210</v>
      </c>
      <c r="E13" s="21" t="s">
        <v>211</v>
      </c>
      <c r="F13" s="21" t="s">
        <v>212</v>
      </c>
      <c r="G13" s="21" t="s">
        <v>213</v>
      </c>
      <c r="H13" s="19" t="s">
        <v>11</v>
      </c>
      <c r="I13" s="21" t="str">
        <f>IF(H13="","",IFERROR(IF(INDEX('Thành viên'!$B$4:$B$6,MATCH(H13,'Thành viên'!$A$4:$A$6,0))="","",INDEX('Thành viên'!$B$4:$B$6,MATCH(H13,'Thành viên'!$A$4:$A$6,0))),""))</f>
        <v>Trần Quốc Anh Hoàng</v>
      </c>
      <c r="J13" s="19" t="s">
        <v>6</v>
      </c>
      <c r="K13" s="21" t="str">
        <f>IF(J13="","",IFERROR(IF(INDEX('Thành viên'!$B$4:$B$6,MATCH(J13,'Thành viên'!$A$4:$A$6,0))="","",INDEX('Thành viên'!$B$4:$B$6,MATCH(J13,'Thành viên'!$A$4:$A$6,0))),""))</f>
        <v>Phạm Ngọc Trung</v>
      </c>
      <c r="L13" s="22"/>
      <c r="M13" s="22"/>
      <c r="N13" s="19" t="s">
        <v>25</v>
      </c>
      <c r="O13" s="21"/>
    </row>
    <row r="14" spans="1:15" ht="70.5" customHeight="1" x14ac:dyDescent="0.3">
      <c r="A14" s="19" t="s">
        <v>214</v>
      </c>
      <c r="B14" s="20" t="s">
        <v>215</v>
      </c>
      <c r="C14" s="21" t="s">
        <v>216</v>
      </c>
      <c r="D14" s="21" t="s">
        <v>217</v>
      </c>
      <c r="E14" s="21" t="s">
        <v>218</v>
      </c>
      <c r="F14" s="21" t="s">
        <v>219</v>
      </c>
      <c r="G14" s="21" t="s">
        <v>220</v>
      </c>
      <c r="H14" s="19" t="s">
        <v>11</v>
      </c>
      <c r="I14" s="21" t="str">
        <f>IF(H14="","",IFERROR(IF(INDEX('Thành viên'!$B$4:$B$6,MATCH(H14,'Thành viên'!$A$4:$A$6,0))="","",INDEX('Thành viên'!$B$4:$B$6,MATCH(H14,'Thành viên'!$A$4:$A$6,0))),""))</f>
        <v>Trần Quốc Anh Hoàng</v>
      </c>
      <c r="J14" s="19" t="s">
        <v>15</v>
      </c>
      <c r="K14" s="21" t="str">
        <f>IF(J14="","",IFERROR(IF(INDEX('Thành viên'!$B$4:$B$6,MATCH(J14,'Thành viên'!$A$4:$A$6,0))="","",INDEX('Thành viên'!$B$4:$B$6,MATCH(J14,'Thành viên'!$A$4:$A$6,0))),""))</f>
        <v>Nguyễn Văn Thu</v>
      </c>
      <c r="L14" s="22"/>
      <c r="M14" s="22"/>
      <c r="N14" s="19" t="s">
        <v>25</v>
      </c>
      <c r="O14" s="21"/>
    </row>
    <row r="15" spans="1:15" ht="19.5" customHeight="1" x14ac:dyDescent="0.3">
      <c r="A15" s="1" t="str">
        <f>"TV3 – "&amp;'Thành viên'!B6&amp;" – "&amp;'Thành viên'!E6</f>
        <v>TV3 – Nguyễn Văn Thu – Phân tích nghiệp vụ, kiểm thử, tài liệu</v>
      </c>
      <c r="B15" s="1"/>
      <c r="C15" s="1"/>
      <c r="D15" s="1"/>
      <c r="E15" s="1"/>
      <c r="F15" s="1"/>
      <c r="G15" s="1"/>
      <c r="H15" s="1"/>
      <c r="I15" s="1"/>
      <c r="J15" s="1"/>
      <c r="K15" s="1"/>
      <c r="L15" s="1"/>
      <c r="M15" s="1"/>
      <c r="N15" s="1"/>
      <c r="O15" s="1"/>
    </row>
    <row r="16" spans="1:15" ht="96.75" customHeight="1" x14ac:dyDescent="0.3">
      <c r="A16" s="19" t="s">
        <v>221</v>
      </c>
      <c r="B16" s="20" t="s">
        <v>222</v>
      </c>
      <c r="C16" s="21" t="s">
        <v>223</v>
      </c>
      <c r="D16" s="21" t="s">
        <v>169</v>
      </c>
      <c r="E16" s="21" t="s">
        <v>224</v>
      </c>
      <c r="F16" s="21" t="s">
        <v>225</v>
      </c>
      <c r="G16" s="21" t="s">
        <v>226</v>
      </c>
      <c r="H16" s="19" t="s">
        <v>15</v>
      </c>
      <c r="I16" s="21" t="str">
        <f>IF(H16="","",IFERROR(IF(INDEX('Thành viên'!$B$4:$B$6,MATCH(H16,'Thành viên'!$A$4:$A$6,0))="","",INDEX('Thành viên'!$B$4:$B$6,MATCH(H16,'Thành viên'!$A$4:$A$6,0))),""))</f>
        <v>Nguyễn Văn Thu</v>
      </c>
      <c r="J16" s="19" t="s">
        <v>6</v>
      </c>
      <c r="K16" s="21" t="str">
        <f>IF(J16="","",IFERROR(IF(INDEX('Thành viên'!$B$4:$B$6,MATCH(J16,'Thành viên'!$A$4:$A$6,0))="","",INDEX('Thành viên'!$B$4:$B$6,MATCH(J16,'Thành viên'!$A$4:$A$6,0))),""))</f>
        <v>Phạm Ngọc Trung</v>
      </c>
      <c r="L16" s="22"/>
      <c r="M16" s="22"/>
      <c r="N16" s="19" t="s">
        <v>25</v>
      </c>
      <c r="O16" s="21"/>
    </row>
    <row r="17" spans="1:15" ht="70.5" customHeight="1" x14ac:dyDescent="0.3">
      <c r="A17" s="19" t="s">
        <v>227</v>
      </c>
      <c r="B17" s="20" t="s">
        <v>228</v>
      </c>
      <c r="C17" s="21" t="s">
        <v>229</v>
      </c>
      <c r="D17" s="21" t="s">
        <v>230</v>
      </c>
      <c r="E17" s="21" t="s">
        <v>231</v>
      </c>
      <c r="F17" s="21" t="s">
        <v>232</v>
      </c>
      <c r="G17" s="21" t="s">
        <v>233</v>
      </c>
      <c r="H17" s="19" t="s">
        <v>15</v>
      </c>
      <c r="I17" s="21" t="str">
        <f>IF(H17="","",IFERROR(IF(INDEX('Thành viên'!$B$4:$B$6,MATCH(H17,'Thành viên'!$A$4:$A$6,0))="","",INDEX('Thành viên'!$B$4:$B$6,MATCH(H17,'Thành viên'!$A$4:$A$6,0))),""))</f>
        <v>Nguyễn Văn Thu</v>
      </c>
      <c r="J17" s="19" t="s">
        <v>6</v>
      </c>
      <c r="K17" s="21" t="str">
        <f>IF(J17="","",IFERROR(IF(INDEX('Thành viên'!$B$4:$B$6,MATCH(J17,'Thành viên'!$A$4:$A$6,0))="","",INDEX('Thành viên'!$B$4:$B$6,MATCH(J17,'Thành viên'!$A$4:$A$6,0))),""))</f>
        <v>Phạm Ngọc Trung</v>
      </c>
      <c r="L17" s="22"/>
      <c r="M17" s="22"/>
      <c r="N17" s="19" t="s">
        <v>25</v>
      </c>
      <c r="O17" s="21"/>
    </row>
    <row r="18" spans="1:15" ht="123" customHeight="1" x14ac:dyDescent="0.3">
      <c r="A18" s="19" t="s">
        <v>234</v>
      </c>
      <c r="B18" s="20" t="s">
        <v>235</v>
      </c>
      <c r="C18" s="21" t="s">
        <v>236</v>
      </c>
      <c r="D18" s="21" t="s">
        <v>237</v>
      </c>
      <c r="E18" s="21" t="s">
        <v>238</v>
      </c>
      <c r="F18" s="21" t="s">
        <v>239</v>
      </c>
      <c r="G18" s="21" t="s">
        <v>240</v>
      </c>
      <c r="H18" s="19" t="s">
        <v>15</v>
      </c>
      <c r="I18" s="21" t="str">
        <f>IF(H18="","",IFERROR(IF(INDEX('Thành viên'!$B$4:$B$6,MATCH(H18,'Thành viên'!$A$4:$A$6,0))="","",INDEX('Thành viên'!$B$4:$B$6,MATCH(H18,'Thành viên'!$A$4:$A$6,0))),""))</f>
        <v>Nguyễn Văn Thu</v>
      </c>
      <c r="J18" s="19" t="s">
        <v>6</v>
      </c>
      <c r="K18" s="21" t="str">
        <f>IF(J18="","",IFERROR(IF(INDEX('Thành viên'!$B$4:$B$6,MATCH(J18,'Thành viên'!$A$4:$A$6,0))="","",INDEX('Thành viên'!$B$4:$B$6,MATCH(J18,'Thành viên'!$A$4:$A$6,0))),""))</f>
        <v>Phạm Ngọc Trung</v>
      </c>
      <c r="L18" s="22"/>
      <c r="M18" s="22"/>
      <c r="N18" s="19" t="s">
        <v>25</v>
      </c>
      <c r="O18" s="21"/>
    </row>
  </sheetData>
  <mergeCells count="4">
    <mergeCell ref="A2:O2"/>
    <mergeCell ref="A5:O5"/>
    <mergeCell ref="A10:O10"/>
    <mergeCell ref="A15:O15"/>
  </mergeCells>
  <dataValidations count="2">
    <dataValidation type="list" showErrorMessage="1" errorTitle="Trạng thái" error="Chọn: Chưa làm, Đang làm hoặc Đã làm." sqref="N6:N9 N11:N14 N16:N18" xr:uid="{00000000-0002-0000-0400-000000000000}">
      <formula1>"Chưa làm,Đang làm,Đã làm"</formula1>
      <formula2>0</formula2>
    </dataValidation>
    <dataValidation type="date" operator="greaterThan" allowBlank="1" showErrorMessage="1" errorTitle="Ngày" error="Nhập ngày dạng dd/mm/yyyy." sqref="L6:M9 L11:M14 L16:M18" xr:uid="{00000000-0002-0000-0400-000002000000}">
      <formula1>DATE(2026,1,1)</formula1>
      <formula2>0</formula2>
    </dataValidation>
  </dataValidations>
  <pageMargins left="0.3" right="0.3"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400-000001000000}">
          <x14:formula1>
            <xm:f>'Thành viên'!$A$4:$A$6</xm:f>
          </x14:formula1>
          <x14:formula2>
            <xm:f>0</xm:f>
          </x14:formula2>
          <xm:sqref>H6:H9 J6:J9 H11:H14 J11:J14 H16:H18 J16:J18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24"/>
  <sheetViews>
    <sheetView showGridLines="0" zoomScale="70" zoomScaleNormal="100" workbookViewId="0">
      <pane xSplit="2" ySplit="4" topLeftCell="C5" activePane="bottomRight" state="frozen"/>
      <selection pane="topRight" activeCell="C1" sqref="C1"/>
      <selection pane="bottomLeft" activeCell="A5" sqref="A5"/>
      <selection pane="bottomRight" activeCell="A2" sqref="A2:XFD2"/>
    </sheetView>
  </sheetViews>
  <sheetFormatPr defaultColWidth="8.6640625" defaultRowHeight="14.4" x14ac:dyDescent="0.3"/>
  <cols>
    <col min="1" max="1" width="8" customWidth="1"/>
    <col min="2" max="2" width="24" customWidth="1"/>
    <col min="3" max="3" width="62" customWidth="1"/>
    <col min="4" max="4" width="22" customWidth="1"/>
    <col min="5" max="5" width="24" customWidth="1"/>
    <col min="6" max="6" width="30" customWidth="1"/>
    <col min="7" max="7" width="18" customWidth="1"/>
    <col min="8" max="8" width="7" hidden="1" customWidth="1"/>
    <col min="9" max="9" width="18" customWidth="1"/>
    <col min="10" max="10" width="9" hidden="1" customWidth="1"/>
    <col min="11" max="11" width="18" hidden="1" customWidth="1"/>
    <col min="12" max="13" width="11" hidden="1" customWidth="1"/>
    <col min="14" max="14" width="12" customWidth="1"/>
    <col min="15" max="15" width="22" customWidth="1"/>
  </cols>
  <sheetData>
    <row r="1" spans="1:15" ht="16.8" x14ac:dyDescent="0.3">
      <c r="A1" s="4" t="s">
        <v>241</v>
      </c>
    </row>
    <row r="2" spans="1:15" ht="27.75" hidden="1" customHeight="1" x14ac:dyDescent="0.3">
      <c r="A2" s="2" t="s">
        <v>242</v>
      </c>
      <c r="B2" s="2"/>
      <c r="C2" s="2"/>
      <c r="D2" s="2"/>
      <c r="E2" s="2"/>
      <c r="F2" s="2"/>
      <c r="G2" s="2"/>
      <c r="H2" s="2"/>
      <c r="I2" s="2"/>
      <c r="J2" s="2"/>
      <c r="K2" s="2"/>
      <c r="L2" s="2"/>
      <c r="M2" s="2"/>
      <c r="N2" s="2"/>
      <c r="O2" s="2"/>
    </row>
    <row r="4" spans="1:15" ht="30" customHeight="1" x14ac:dyDescent="0.3">
      <c r="A4" s="5" t="s">
        <v>48</v>
      </c>
      <c r="B4" s="5" t="s">
        <v>49</v>
      </c>
      <c r="C4" s="5" t="s">
        <v>50</v>
      </c>
      <c r="D4" s="5" t="s">
        <v>51</v>
      </c>
      <c r="E4" s="5" t="s">
        <v>52</v>
      </c>
      <c r="F4" s="5" t="s">
        <v>53</v>
      </c>
      <c r="G4" s="5" t="s">
        <v>54</v>
      </c>
      <c r="H4" s="5" t="s">
        <v>55</v>
      </c>
      <c r="I4" s="5" t="s">
        <v>56</v>
      </c>
      <c r="J4" s="5" t="s">
        <v>57</v>
      </c>
      <c r="K4" s="5" t="s">
        <v>58</v>
      </c>
      <c r="L4" s="5" t="s">
        <v>59</v>
      </c>
      <c r="M4" s="5" t="s">
        <v>60</v>
      </c>
      <c r="N4" s="5" t="s">
        <v>61</v>
      </c>
      <c r="O4" s="5" t="s">
        <v>62</v>
      </c>
    </row>
    <row r="5" spans="1:15" ht="19.5" customHeight="1" x14ac:dyDescent="0.3">
      <c r="A5" s="1" t="str">
        <f>"TV1 – "&amp;'Thành viên'!B4&amp;" – "&amp;'Thành viên'!E4</f>
        <v>TV1 – Phạm Ngọc Trung – Backend, AI, triển khai</v>
      </c>
      <c r="B5" s="1"/>
      <c r="C5" s="1"/>
      <c r="D5" s="1"/>
      <c r="E5" s="1"/>
      <c r="F5" s="1"/>
      <c r="G5" s="1"/>
      <c r="H5" s="1"/>
      <c r="I5" s="1"/>
      <c r="J5" s="1"/>
      <c r="K5" s="1"/>
      <c r="L5" s="1"/>
      <c r="M5" s="1"/>
      <c r="N5" s="1"/>
      <c r="O5" s="1"/>
    </row>
    <row r="6" spans="1:15" ht="96.75" customHeight="1" x14ac:dyDescent="0.3">
      <c r="A6" s="19" t="s">
        <v>243</v>
      </c>
      <c r="B6" s="20" t="s">
        <v>244</v>
      </c>
      <c r="C6" s="21" t="s">
        <v>245</v>
      </c>
      <c r="D6" s="21" t="s">
        <v>246</v>
      </c>
      <c r="E6" s="21" t="s">
        <v>247</v>
      </c>
      <c r="F6" s="21" t="s">
        <v>248</v>
      </c>
      <c r="G6" s="21" t="s">
        <v>249</v>
      </c>
      <c r="H6" s="19" t="s">
        <v>6</v>
      </c>
      <c r="I6" s="21" t="str">
        <f>IF(H6="","",IFERROR(IF(INDEX('Thành viên'!$B$4:$B$6,MATCH(H6,'Thành viên'!$A$4:$A$6,0))="","",INDEX('Thành viên'!$B$4:$B$6,MATCH(H6,'Thành viên'!$A$4:$A$6,0))),""))</f>
        <v>Phạm Ngọc Trung</v>
      </c>
      <c r="J6" s="19" t="s">
        <v>15</v>
      </c>
      <c r="K6" s="21" t="str">
        <f>IF(J6="","",IFERROR(IF(INDEX('Thành viên'!$B$4:$B$6,MATCH(J6,'Thành viên'!$A$4:$A$6,0))="","",INDEX('Thành viên'!$B$4:$B$6,MATCH(J6,'Thành viên'!$A$4:$A$6,0))),""))</f>
        <v>Nguyễn Văn Thu</v>
      </c>
      <c r="L6" s="22"/>
      <c r="M6" s="22"/>
      <c r="N6" s="19" t="s">
        <v>25</v>
      </c>
      <c r="O6" s="21"/>
    </row>
    <row r="7" spans="1:15" ht="135.75" customHeight="1" x14ac:dyDescent="0.3">
      <c r="A7" s="19" t="s">
        <v>250</v>
      </c>
      <c r="B7" s="20" t="s">
        <v>251</v>
      </c>
      <c r="C7" s="21" t="s">
        <v>252</v>
      </c>
      <c r="D7" s="21" t="s">
        <v>253</v>
      </c>
      <c r="E7" s="21" t="s">
        <v>254</v>
      </c>
      <c r="F7" s="21" t="s">
        <v>255</v>
      </c>
      <c r="G7" s="21" t="s">
        <v>256</v>
      </c>
      <c r="H7" s="19" t="s">
        <v>6</v>
      </c>
      <c r="I7" s="21" t="str">
        <f>IF(H7="","",IFERROR(IF(INDEX('Thành viên'!$B$4:$B$6,MATCH(H7,'Thành viên'!$A$4:$A$6,0))="","",INDEX('Thành viên'!$B$4:$B$6,MATCH(H7,'Thành viên'!$A$4:$A$6,0))),""))</f>
        <v>Phạm Ngọc Trung</v>
      </c>
      <c r="J7" s="19" t="s">
        <v>15</v>
      </c>
      <c r="K7" s="21" t="str">
        <f>IF(J7="","",IFERROR(IF(INDEX('Thành viên'!$B$4:$B$6,MATCH(J7,'Thành viên'!$A$4:$A$6,0))="","",INDEX('Thành viên'!$B$4:$B$6,MATCH(J7,'Thành viên'!$A$4:$A$6,0))),""))</f>
        <v>Nguyễn Văn Thu</v>
      </c>
      <c r="L7" s="22"/>
      <c r="M7" s="22"/>
      <c r="N7" s="19" t="s">
        <v>25</v>
      </c>
      <c r="O7" s="21"/>
    </row>
    <row r="8" spans="1:15" ht="174.75" customHeight="1" x14ac:dyDescent="0.3">
      <c r="A8" s="19" t="s">
        <v>257</v>
      </c>
      <c r="B8" s="20" t="s">
        <v>258</v>
      </c>
      <c r="C8" s="21" t="s">
        <v>259</v>
      </c>
      <c r="D8" s="21" t="s">
        <v>260</v>
      </c>
      <c r="E8" s="21" t="s">
        <v>261</v>
      </c>
      <c r="F8" s="21" t="s">
        <v>262</v>
      </c>
      <c r="G8" s="21" t="s">
        <v>263</v>
      </c>
      <c r="H8" s="19" t="s">
        <v>6</v>
      </c>
      <c r="I8" s="21" t="str">
        <f>IF(H8="","",IFERROR(IF(INDEX('Thành viên'!$B$4:$B$6,MATCH(H8,'Thành viên'!$A$4:$A$6,0))="","",INDEX('Thành viên'!$B$4:$B$6,MATCH(H8,'Thành viên'!$A$4:$A$6,0))),""))</f>
        <v>Phạm Ngọc Trung</v>
      </c>
      <c r="J8" s="19" t="s">
        <v>15</v>
      </c>
      <c r="K8" s="21" t="str">
        <f>IF(J8="","",IFERROR(IF(INDEX('Thành viên'!$B$4:$B$6,MATCH(J8,'Thành viên'!$A$4:$A$6,0))="","",INDEX('Thành viên'!$B$4:$B$6,MATCH(J8,'Thành viên'!$A$4:$A$6,0))),""))</f>
        <v>Nguyễn Văn Thu</v>
      </c>
      <c r="L8" s="22"/>
      <c r="M8" s="22"/>
      <c r="N8" s="19" t="s">
        <v>25</v>
      </c>
      <c r="O8" s="21"/>
    </row>
    <row r="9" spans="1:15" ht="109.5" customHeight="1" x14ac:dyDescent="0.3">
      <c r="A9" s="19" t="s">
        <v>264</v>
      </c>
      <c r="B9" s="20" t="s">
        <v>265</v>
      </c>
      <c r="C9" s="21" t="s">
        <v>266</v>
      </c>
      <c r="D9" s="21" t="s">
        <v>267</v>
      </c>
      <c r="E9" s="21" t="s">
        <v>268</v>
      </c>
      <c r="F9" s="21" t="s">
        <v>269</v>
      </c>
      <c r="G9" s="21" t="s">
        <v>270</v>
      </c>
      <c r="H9" s="19" t="s">
        <v>6</v>
      </c>
      <c r="I9" s="21" t="str">
        <f>IF(H9="","",IFERROR(IF(INDEX('Thành viên'!$B$4:$B$6,MATCH(H9,'Thành viên'!$A$4:$A$6,0))="","",INDEX('Thành viên'!$B$4:$B$6,MATCH(H9,'Thành viên'!$A$4:$A$6,0))),""))</f>
        <v>Phạm Ngọc Trung</v>
      </c>
      <c r="J9" s="19" t="s">
        <v>15</v>
      </c>
      <c r="K9" s="21" t="str">
        <f>IF(J9="","",IFERROR(IF(INDEX('Thành viên'!$B$4:$B$6,MATCH(J9,'Thành viên'!$A$4:$A$6,0))="","",INDEX('Thành viên'!$B$4:$B$6,MATCH(J9,'Thành viên'!$A$4:$A$6,0))),""))</f>
        <v>Nguyễn Văn Thu</v>
      </c>
      <c r="L9" s="22"/>
      <c r="M9" s="22"/>
      <c r="N9" s="19" t="s">
        <v>25</v>
      </c>
      <c r="O9" s="21"/>
    </row>
    <row r="10" spans="1:15" ht="109.5" customHeight="1" x14ac:dyDescent="0.3">
      <c r="A10" s="19" t="s">
        <v>271</v>
      </c>
      <c r="B10" s="20" t="s">
        <v>272</v>
      </c>
      <c r="C10" s="21" t="s">
        <v>273</v>
      </c>
      <c r="D10" s="21" t="s">
        <v>274</v>
      </c>
      <c r="E10" s="21" t="s">
        <v>275</v>
      </c>
      <c r="F10" s="21" t="s">
        <v>276</v>
      </c>
      <c r="G10" s="21" t="s">
        <v>277</v>
      </c>
      <c r="H10" s="19" t="s">
        <v>6</v>
      </c>
      <c r="I10" s="21" t="str">
        <f>IF(H10="","",IFERROR(IF(INDEX('Thành viên'!$B$4:$B$6,MATCH(H10,'Thành viên'!$A$4:$A$6,0))="","",INDEX('Thành viên'!$B$4:$B$6,MATCH(H10,'Thành viên'!$A$4:$A$6,0))),""))</f>
        <v>Phạm Ngọc Trung</v>
      </c>
      <c r="J10" s="19" t="s">
        <v>15</v>
      </c>
      <c r="K10" s="21" t="str">
        <f>IF(J10="","",IFERROR(IF(INDEX('Thành viên'!$B$4:$B$6,MATCH(J10,'Thành viên'!$A$4:$A$6,0))="","",INDEX('Thành viên'!$B$4:$B$6,MATCH(J10,'Thành viên'!$A$4:$A$6,0))),""))</f>
        <v>Nguyễn Văn Thu</v>
      </c>
      <c r="L10" s="22"/>
      <c r="M10" s="22"/>
      <c r="N10" s="19" t="s">
        <v>25</v>
      </c>
      <c r="O10" s="21"/>
    </row>
    <row r="11" spans="1:15" ht="109.5" customHeight="1" x14ac:dyDescent="0.3">
      <c r="A11" s="19" t="s">
        <v>278</v>
      </c>
      <c r="B11" s="20" t="s">
        <v>279</v>
      </c>
      <c r="C11" s="21" t="s">
        <v>280</v>
      </c>
      <c r="D11" s="21" t="s">
        <v>281</v>
      </c>
      <c r="E11" s="21" t="s">
        <v>282</v>
      </c>
      <c r="F11" s="21" t="s">
        <v>283</v>
      </c>
      <c r="G11" s="21" t="s">
        <v>284</v>
      </c>
      <c r="H11" s="19" t="s">
        <v>6</v>
      </c>
      <c r="I11" s="21" t="str">
        <f>IF(H11="","",IFERROR(IF(INDEX('Thành viên'!$B$4:$B$6,MATCH(H11,'Thành viên'!$A$4:$A$6,0))="","",INDEX('Thành viên'!$B$4:$B$6,MATCH(H11,'Thành viên'!$A$4:$A$6,0))),""))</f>
        <v>Phạm Ngọc Trung</v>
      </c>
      <c r="J11" s="19" t="s">
        <v>15</v>
      </c>
      <c r="K11" s="21" t="str">
        <f>IF(J11="","",IFERROR(IF(INDEX('Thành viên'!$B$4:$B$6,MATCH(J11,'Thành viên'!$A$4:$A$6,0))="","",INDEX('Thành viên'!$B$4:$B$6,MATCH(J11,'Thành viên'!$A$4:$A$6,0))),""))</f>
        <v>Nguyễn Văn Thu</v>
      </c>
      <c r="L11" s="22"/>
      <c r="M11" s="22"/>
      <c r="N11" s="19" t="s">
        <v>25</v>
      </c>
      <c r="O11" s="21"/>
    </row>
    <row r="12" spans="1:15" ht="123" customHeight="1" x14ac:dyDescent="0.3">
      <c r="A12" s="19" t="s">
        <v>285</v>
      </c>
      <c r="B12" s="20" t="s">
        <v>286</v>
      </c>
      <c r="C12" s="21" t="s">
        <v>287</v>
      </c>
      <c r="D12" s="21" t="s">
        <v>288</v>
      </c>
      <c r="E12" s="21" t="s">
        <v>289</v>
      </c>
      <c r="F12" s="21" t="s">
        <v>290</v>
      </c>
      <c r="G12" s="21" t="s">
        <v>291</v>
      </c>
      <c r="H12" s="19" t="s">
        <v>6</v>
      </c>
      <c r="I12" s="21" t="str">
        <f>IF(H12="","",IFERROR(IF(INDEX('Thành viên'!$B$4:$B$6,MATCH(H12,'Thành viên'!$A$4:$A$6,0))="","",INDEX('Thành viên'!$B$4:$B$6,MATCH(H12,'Thành viên'!$A$4:$A$6,0))),""))</f>
        <v>Phạm Ngọc Trung</v>
      </c>
      <c r="J12" s="19"/>
      <c r="K12" s="21" t="str">
        <f>IF(J12="","",IFERROR(IF(INDEX('Thành viên'!$B$4:$B$6,MATCH(J12,'Thành viên'!$A$4:$A$6,0))="","",INDEX('Thành viên'!$B$4:$B$6,MATCH(J12,'Thành viên'!$A$4:$A$6,0))),""))</f>
        <v/>
      </c>
      <c r="L12" s="22"/>
      <c r="M12" s="22"/>
      <c r="N12" s="19" t="s">
        <v>25</v>
      </c>
      <c r="O12" s="21"/>
    </row>
    <row r="13" spans="1:15" ht="19.5" customHeight="1" x14ac:dyDescent="0.3">
      <c r="A13" s="1" t="str">
        <f>"TV2 – "&amp;'Thành viên'!B5&amp;" – "&amp;'Thành viên'!E5</f>
        <v>TV2 – Trần Quốc Anh Hoàng – Frontend, giao diện</v>
      </c>
      <c r="B13" s="1"/>
      <c r="C13" s="1"/>
      <c r="D13" s="1"/>
      <c r="E13" s="1"/>
      <c r="F13" s="1"/>
      <c r="G13" s="1"/>
      <c r="H13" s="1"/>
      <c r="I13" s="1"/>
      <c r="J13" s="1"/>
      <c r="K13" s="1"/>
      <c r="L13" s="1"/>
      <c r="M13" s="1"/>
      <c r="N13" s="1"/>
      <c r="O13" s="1"/>
    </row>
    <row r="14" spans="1:15" ht="109.5" customHeight="1" x14ac:dyDescent="0.3">
      <c r="A14" s="19" t="s">
        <v>292</v>
      </c>
      <c r="B14" s="20" t="s">
        <v>293</v>
      </c>
      <c r="C14" s="21" t="s">
        <v>294</v>
      </c>
      <c r="D14" s="21" t="s">
        <v>295</v>
      </c>
      <c r="E14" s="21" t="s">
        <v>296</v>
      </c>
      <c r="F14" s="21" t="s">
        <v>297</v>
      </c>
      <c r="G14" s="21" t="s">
        <v>298</v>
      </c>
      <c r="H14" s="19" t="s">
        <v>11</v>
      </c>
      <c r="I14" s="21" t="str">
        <f>IF(H14="","",IFERROR(IF(INDEX('Thành viên'!$B$4:$B$6,MATCH(H14,'Thành viên'!$A$4:$A$6,0))="","",INDEX('Thành viên'!$B$4:$B$6,MATCH(H14,'Thành viên'!$A$4:$A$6,0))),""))</f>
        <v>Trần Quốc Anh Hoàng</v>
      </c>
      <c r="J14" s="19" t="s">
        <v>6</v>
      </c>
      <c r="K14" s="21" t="str">
        <f>IF(J14="","",IFERROR(IF(INDEX('Thành viên'!$B$4:$B$6,MATCH(J14,'Thành viên'!$A$4:$A$6,0))="","",INDEX('Thành viên'!$B$4:$B$6,MATCH(J14,'Thành viên'!$A$4:$A$6,0))),""))</f>
        <v>Phạm Ngọc Trung</v>
      </c>
      <c r="L14" s="22"/>
      <c r="M14" s="22"/>
      <c r="N14" s="19" t="s">
        <v>25</v>
      </c>
      <c r="O14" s="21"/>
    </row>
    <row r="15" spans="1:15" ht="123" customHeight="1" x14ac:dyDescent="0.3">
      <c r="A15" s="19" t="s">
        <v>299</v>
      </c>
      <c r="B15" s="20" t="s">
        <v>300</v>
      </c>
      <c r="C15" s="21" t="s">
        <v>301</v>
      </c>
      <c r="D15" s="21" t="s">
        <v>302</v>
      </c>
      <c r="E15" s="21" t="s">
        <v>303</v>
      </c>
      <c r="F15" s="21" t="s">
        <v>304</v>
      </c>
      <c r="G15" s="21" t="s">
        <v>305</v>
      </c>
      <c r="H15" s="19" t="s">
        <v>11</v>
      </c>
      <c r="I15" s="21" t="str">
        <f>IF(H15="","",IFERROR(IF(INDEX('Thành viên'!$B$4:$B$6,MATCH(H15,'Thành viên'!$A$4:$A$6,0))="","",INDEX('Thành viên'!$B$4:$B$6,MATCH(H15,'Thành viên'!$A$4:$A$6,0))),""))</f>
        <v>Trần Quốc Anh Hoàng</v>
      </c>
      <c r="J15" s="19" t="s">
        <v>6</v>
      </c>
      <c r="K15" s="21" t="str">
        <f>IF(J15="","",IFERROR(IF(INDEX('Thành viên'!$B$4:$B$6,MATCH(J15,'Thành viên'!$A$4:$A$6,0))="","",INDEX('Thành viên'!$B$4:$B$6,MATCH(J15,'Thành viên'!$A$4:$A$6,0))),""))</f>
        <v>Phạm Ngọc Trung</v>
      </c>
      <c r="L15" s="22"/>
      <c r="M15" s="22"/>
      <c r="N15" s="19" t="s">
        <v>25</v>
      </c>
      <c r="O15" s="21"/>
    </row>
    <row r="16" spans="1:15" ht="96.75" customHeight="1" x14ac:dyDescent="0.3">
      <c r="A16" s="19" t="s">
        <v>306</v>
      </c>
      <c r="B16" s="20" t="s">
        <v>307</v>
      </c>
      <c r="C16" s="21" t="s">
        <v>308</v>
      </c>
      <c r="D16" s="21" t="s">
        <v>302</v>
      </c>
      <c r="E16" s="21" t="s">
        <v>309</v>
      </c>
      <c r="F16" s="21" t="s">
        <v>310</v>
      </c>
      <c r="G16" s="21" t="s">
        <v>311</v>
      </c>
      <c r="H16" s="19" t="s">
        <v>11</v>
      </c>
      <c r="I16" s="21" t="str">
        <f>IF(H16="","",IFERROR(IF(INDEX('Thành viên'!$B$4:$B$6,MATCH(H16,'Thành viên'!$A$4:$A$6,0))="","",INDEX('Thành viên'!$B$4:$B$6,MATCH(H16,'Thành viên'!$A$4:$A$6,0))),""))</f>
        <v>Trần Quốc Anh Hoàng</v>
      </c>
      <c r="J16" s="19" t="s">
        <v>6</v>
      </c>
      <c r="K16" s="21" t="str">
        <f>IF(J16="","",IFERROR(IF(INDEX('Thành viên'!$B$4:$B$6,MATCH(J16,'Thành viên'!$A$4:$A$6,0))="","",INDEX('Thành viên'!$B$4:$B$6,MATCH(J16,'Thành viên'!$A$4:$A$6,0))),""))</f>
        <v>Phạm Ngọc Trung</v>
      </c>
      <c r="L16" s="22"/>
      <c r="M16" s="22"/>
      <c r="N16" s="19" t="s">
        <v>25</v>
      </c>
      <c r="O16" s="21"/>
    </row>
    <row r="17" spans="1:15" ht="109.5" customHeight="1" x14ac:dyDescent="0.3">
      <c r="A17" s="19" t="s">
        <v>312</v>
      </c>
      <c r="B17" s="20" t="s">
        <v>313</v>
      </c>
      <c r="C17" s="21" t="s">
        <v>314</v>
      </c>
      <c r="D17" s="21" t="s">
        <v>302</v>
      </c>
      <c r="E17" s="21" t="s">
        <v>315</v>
      </c>
      <c r="F17" s="21" t="s">
        <v>316</v>
      </c>
      <c r="G17" s="21" t="s">
        <v>317</v>
      </c>
      <c r="H17" s="19" t="s">
        <v>11</v>
      </c>
      <c r="I17" s="21" t="str">
        <f>IF(H17="","",IFERROR(IF(INDEX('Thành viên'!$B$4:$B$6,MATCH(H17,'Thành viên'!$A$4:$A$6,0))="","",INDEX('Thành viên'!$B$4:$B$6,MATCH(H17,'Thành viên'!$A$4:$A$6,0))),""))</f>
        <v>Trần Quốc Anh Hoàng</v>
      </c>
      <c r="J17" s="19" t="s">
        <v>6</v>
      </c>
      <c r="K17" s="21" t="str">
        <f>IF(J17="","",IFERROR(IF(INDEX('Thành viên'!$B$4:$B$6,MATCH(J17,'Thành viên'!$A$4:$A$6,0))="","",INDEX('Thành viên'!$B$4:$B$6,MATCH(J17,'Thành viên'!$A$4:$A$6,0))),""))</f>
        <v>Phạm Ngọc Trung</v>
      </c>
      <c r="L17" s="22"/>
      <c r="M17" s="22"/>
      <c r="N17" s="19" t="s">
        <v>25</v>
      </c>
      <c r="O17" s="21"/>
    </row>
    <row r="18" spans="1:15" ht="19.5" customHeight="1" x14ac:dyDescent="0.3">
      <c r="A18" s="1" t="str">
        <f>"TV3 – "&amp;'Thành viên'!B6&amp;" – "&amp;'Thành viên'!E6</f>
        <v>TV3 – Nguyễn Văn Thu – Phân tích nghiệp vụ, kiểm thử, tài liệu</v>
      </c>
      <c r="B18" s="1"/>
      <c r="C18" s="1"/>
      <c r="D18" s="1"/>
      <c r="E18" s="1"/>
      <c r="F18" s="1"/>
      <c r="G18" s="1"/>
      <c r="H18" s="1"/>
      <c r="I18" s="1"/>
      <c r="J18" s="1"/>
      <c r="K18" s="1"/>
      <c r="L18" s="1"/>
      <c r="M18" s="1"/>
      <c r="N18" s="1"/>
      <c r="O18" s="1"/>
    </row>
    <row r="19" spans="1:15" ht="109.5" customHeight="1" x14ac:dyDescent="0.3">
      <c r="A19" s="19" t="s">
        <v>318</v>
      </c>
      <c r="B19" s="20" t="s">
        <v>319</v>
      </c>
      <c r="C19" s="21" t="s">
        <v>320</v>
      </c>
      <c r="D19" s="21" t="s">
        <v>253</v>
      </c>
      <c r="E19" s="21" t="s">
        <v>321</v>
      </c>
      <c r="F19" s="21" t="s">
        <v>322</v>
      </c>
      <c r="G19" s="21" t="s">
        <v>323</v>
      </c>
      <c r="H19" s="19" t="s">
        <v>15</v>
      </c>
      <c r="I19" s="21" t="str">
        <f>IF(H19="","",IFERROR(IF(INDEX('Thành viên'!$B$4:$B$6,MATCH(H19,'Thành viên'!$A$4:$A$6,0))="","",INDEX('Thành viên'!$B$4:$B$6,MATCH(H19,'Thành viên'!$A$4:$A$6,0))),""))</f>
        <v>Nguyễn Văn Thu</v>
      </c>
      <c r="J19" s="19" t="s">
        <v>6</v>
      </c>
      <c r="K19" s="21" t="str">
        <f>IF(J19="","",IFERROR(IF(INDEX('Thành viên'!$B$4:$B$6,MATCH(J19,'Thành viên'!$A$4:$A$6,0))="","",INDEX('Thành viên'!$B$4:$B$6,MATCH(J19,'Thành viên'!$A$4:$A$6,0))),""))</f>
        <v>Phạm Ngọc Trung</v>
      </c>
      <c r="L19" s="22"/>
      <c r="M19" s="22"/>
      <c r="N19" s="19" t="s">
        <v>25</v>
      </c>
      <c r="O19" s="21"/>
    </row>
    <row r="20" spans="1:15" ht="123" customHeight="1" x14ac:dyDescent="0.3">
      <c r="A20" s="19" t="s">
        <v>324</v>
      </c>
      <c r="B20" s="20" t="s">
        <v>325</v>
      </c>
      <c r="C20" s="21" t="s">
        <v>326</v>
      </c>
      <c r="D20" s="21" t="s">
        <v>327</v>
      </c>
      <c r="E20" s="21" t="s">
        <v>328</v>
      </c>
      <c r="F20" s="21" t="s">
        <v>329</v>
      </c>
      <c r="G20" s="21" t="s">
        <v>330</v>
      </c>
      <c r="H20" s="19" t="s">
        <v>15</v>
      </c>
      <c r="I20" s="21" t="str">
        <f>IF(H20="","",IFERROR(IF(INDEX('Thành viên'!$B$4:$B$6,MATCH(H20,'Thành viên'!$A$4:$A$6,0))="","",INDEX('Thành viên'!$B$4:$B$6,MATCH(H20,'Thành viên'!$A$4:$A$6,0))),""))</f>
        <v>Nguyễn Văn Thu</v>
      </c>
      <c r="J20" s="19" t="s">
        <v>6</v>
      </c>
      <c r="K20" s="21" t="str">
        <f>IF(J20="","",IFERROR(IF(INDEX('Thành viên'!$B$4:$B$6,MATCH(J20,'Thành viên'!$A$4:$A$6,0))="","",INDEX('Thành viên'!$B$4:$B$6,MATCH(J20,'Thành viên'!$A$4:$A$6,0))),""))</f>
        <v>Phạm Ngọc Trung</v>
      </c>
      <c r="L20" s="22"/>
      <c r="M20" s="22"/>
      <c r="N20" s="19" t="s">
        <v>25</v>
      </c>
      <c r="O20" s="21"/>
    </row>
    <row r="21" spans="1:15" ht="96.75" customHeight="1" x14ac:dyDescent="0.3">
      <c r="A21" s="19" t="s">
        <v>331</v>
      </c>
      <c r="B21" s="20" t="s">
        <v>332</v>
      </c>
      <c r="C21" s="21" t="s">
        <v>333</v>
      </c>
      <c r="D21" s="21" t="s">
        <v>334</v>
      </c>
      <c r="E21" s="21" t="s">
        <v>335</v>
      </c>
      <c r="F21" s="21" t="s">
        <v>336</v>
      </c>
      <c r="G21" s="21" t="s">
        <v>337</v>
      </c>
      <c r="H21" s="19" t="s">
        <v>15</v>
      </c>
      <c r="I21" s="21" t="str">
        <f>IF(H21="","",IFERROR(IF(INDEX('Thành viên'!$B$4:$B$6,MATCH(H21,'Thành viên'!$A$4:$A$6,0))="","",INDEX('Thành viên'!$B$4:$B$6,MATCH(H21,'Thành viên'!$A$4:$A$6,0))),""))</f>
        <v>Nguyễn Văn Thu</v>
      </c>
      <c r="J21" s="19" t="s">
        <v>6</v>
      </c>
      <c r="K21" s="21" t="str">
        <f>IF(J21="","",IFERROR(IF(INDEX('Thành viên'!$B$4:$B$6,MATCH(J21,'Thành viên'!$A$4:$A$6,0))="","",INDEX('Thành viên'!$B$4:$B$6,MATCH(J21,'Thành viên'!$A$4:$A$6,0))),""))</f>
        <v>Phạm Ngọc Trung</v>
      </c>
      <c r="L21" s="22"/>
      <c r="M21" s="22"/>
      <c r="N21" s="19" t="s">
        <v>25</v>
      </c>
      <c r="O21" s="21"/>
    </row>
    <row r="22" spans="1:15" ht="123" customHeight="1" x14ac:dyDescent="0.3">
      <c r="A22" s="19" t="s">
        <v>338</v>
      </c>
      <c r="B22" s="20" t="s">
        <v>339</v>
      </c>
      <c r="C22" s="21" t="s">
        <v>340</v>
      </c>
      <c r="D22" s="21" t="s">
        <v>341</v>
      </c>
      <c r="E22" s="21" t="s">
        <v>342</v>
      </c>
      <c r="F22" s="21" t="s">
        <v>343</v>
      </c>
      <c r="G22" s="21" t="s">
        <v>344</v>
      </c>
      <c r="H22" s="19" t="s">
        <v>15</v>
      </c>
      <c r="I22" s="21" t="str">
        <f>IF(H22="","",IFERROR(IF(INDEX('Thành viên'!$B$4:$B$6,MATCH(H22,'Thành viên'!$A$4:$A$6,0))="","",INDEX('Thành viên'!$B$4:$B$6,MATCH(H22,'Thành viên'!$A$4:$A$6,0))),""))</f>
        <v>Nguyễn Văn Thu</v>
      </c>
      <c r="J22" s="19" t="s">
        <v>6</v>
      </c>
      <c r="K22" s="21" t="str">
        <f>IF(J22="","",IFERROR(IF(INDEX('Thành viên'!$B$4:$B$6,MATCH(J22,'Thành viên'!$A$4:$A$6,0))="","",INDEX('Thành viên'!$B$4:$B$6,MATCH(J22,'Thành viên'!$A$4:$A$6,0))),""))</f>
        <v>Phạm Ngọc Trung</v>
      </c>
      <c r="L22" s="22"/>
      <c r="M22" s="22"/>
      <c r="N22" s="19" t="s">
        <v>25</v>
      </c>
      <c r="O22" s="21"/>
    </row>
    <row r="23" spans="1:15" ht="84" customHeight="1" x14ac:dyDescent="0.3">
      <c r="A23" s="19" t="s">
        <v>345</v>
      </c>
      <c r="B23" s="20" t="s">
        <v>346</v>
      </c>
      <c r="C23" s="21" t="s">
        <v>347</v>
      </c>
      <c r="D23" s="21" t="s">
        <v>348</v>
      </c>
      <c r="E23" s="21" t="s">
        <v>349</v>
      </c>
      <c r="F23" s="21" t="s">
        <v>350</v>
      </c>
      <c r="G23" s="21" t="s">
        <v>351</v>
      </c>
      <c r="H23" s="19" t="s">
        <v>15</v>
      </c>
      <c r="I23" s="21" t="str">
        <f>IF(H23="","",IFERROR(IF(INDEX('Thành viên'!$B$4:$B$6,MATCH(H23,'Thành viên'!$A$4:$A$6,0))="","",INDEX('Thành viên'!$B$4:$B$6,MATCH(H23,'Thành viên'!$A$4:$A$6,0))),""))</f>
        <v>Nguyễn Văn Thu</v>
      </c>
      <c r="J23" s="19" t="s">
        <v>6</v>
      </c>
      <c r="K23" s="21" t="str">
        <f>IF(J23="","",IFERROR(IF(INDEX('Thành viên'!$B$4:$B$6,MATCH(J23,'Thành viên'!$A$4:$A$6,0))="","",INDEX('Thành viên'!$B$4:$B$6,MATCH(J23,'Thành viên'!$A$4:$A$6,0))),""))</f>
        <v>Phạm Ngọc Trung</v>
      </c>
      <c r="L23" s="22"/>
      <c r="M23" s="22"/>
      <c r="N23" s="19" t="s">
        <v>25</v>
      </c>
      <c r="O23" s="21"/>
    </row>
    <row r="24" spans="1:15" ht="70.5" customHeight="1" x14ac:dyDescent="0.3">
      <c r="A24" s="19" t="s">
        <v>352</v>
      </c>
      <c r="B24" s="20" t="s">
        <v>353</v>
      </c>
      <c r="C24" s="21" t="s">
        <v>354</v>
      </c>
      <c r="D24" s="21" t="s">
        <v>355</v>
      </c>
      <c r="E24" s="21" t="s">
        <v>356</v>
      </c>
      <c r="F24" s="21" t="s">
        <v>357</v>
      </c>
      <c r="G24" s="21" t="s">
        <v>358</v>
      </c>
      <c r="H24" s="19" t="s">
        <v>15</v>
      </c>
      <c r="I24" s="21" t="str">
        <f>IF(H24="","",IFERROR(IF(INDEX('Thành viên'!$B$4:$B$6,MATCH(H24,'Thành viên'!$A$4:$A$6,0))="","",INDEX('Thành viên'!$B$4:$B$6,MATCH(H24,'Thành viên'!$A$4:$A$6,0))),""))</f>
        <v>Nguyễn Văn Thu</v>
      </c>
      <c r="J24" s="19" t="s">
        <v>11</v>
      </c>
      <c r="K24" s="21" t="str">
        <f>IF(J24="","",IFERROR(IF(INDEX('Thành viên'!$B$4:$B$6,MATCH(J24,'Thành viên'!$A$4:$A$6,0))="","",INDEX('Thành viên'!$B$4:$B$6,MATCH(J24,'Thành viên'!$A$4:$A$6,0))),""))</f>
        <v>Trần Quốc Anh Hoàng</v>
      </c>
      <c r="L24" s="22"/>
      <c r="M24" s="22"/>
      <c r="N24" s="19" t="s">
        <v>25</v>
      </c>
      <c r="O24" s="21"/>
    </row>
  </sheetData>
  <mergeCells count="4">
    <mergeCell ref="A2:O2"/>
    <mergeCell ref="A5:O5"/>
    <mergeCell ref="A13:O13"/>
    <mergeCell ref="A18:O18"/>
  </mergeCells>
  <dataValidations count="2">
    <dataValidation type="list" showErrorMessage="1" errorTitle="Trạng thái" error="Chọn: Chưa làm, Đang làm hoặc Đã làm." sqref="N6:N12 N14:N17 N19:N24" xr:uid="{00000000-0002-0000-0500-000000000000}">
      <formula1>"Chưa làm,Đang làm,Đã làm"</formula1>
      <formula2>0</formula2>
    </dataValidation>
    <dataValidation type="date" operator="greaterThan" allowBlank="1" showErrorMessage="1" errorTitle="Ngày" error="Nhập ngày dạng dd/mm/yyyy." sqref="L6:M12 L14:M17 L19:M24" xr:uid="{00000000-0002-0000-0500-000002000000}">
      <formula1>DATE(2026,1,1)</formula1>
      <formula2>0</formula2>
    </dataValidation>
  </dataValidations>
  <pageMargins left="0.3" right="0.3"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500-000001000000}">
          <x14:formula1>
            <xm:f>'Thành viên'!$A$4:$A$6</xm:f>
          </x14:formula1>
          <x14:formula2>
            <xm:f>0</xm:f>
          </x14:formula2>
          <xm:sqref>H6:H12 J6:J12 H14:H17 J14:J17 H19:H24 J19:J24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14"/>
  <sheetViews>
    <sheetView showGridLines="0" zoomScale="50" zoomScaleNormal="100" workbookViewId="0">
      <pane xSplit="2" ySplit="4" topLeftCell="C5" activePane="bottomRight" state="frozen"/>
      <selection pane="topRight" activeCell="C1" sqref="C1"/>
      <selection pane="bottomLeft" activeCell="A5" sqref="A5"/>
      <selection pane="bottomRight" activeCell="A2" sqref="A2:XFD2"/>
    </sheetView>
  </sheetViews>
  <sheetFormatPr defaultColWidth="8.6640625" defaultRowHeight="14.4" x14ac:dyDescent="0.3"/>
  <cols>
    <col min="1" max="1" width="8" customWidth="1"/>
    <col min="2" max="2" width="24" customWidth="1"/>
    <col min="3" max="3" width="62" customWidth="1"/>
    <col min="4" max="4" width="22" customWidth="1"/>
    <col min="5" max="5" width="24" customWidth="1"/>
    <col min="6" max="6" width="30" customWidth="1"/>
    <col min="7" max="7" width="18" customWidth="1"/>
    <col min="8" max="8" width="7" hidden="1" customWidth="1"/>
    <col min="9" max="9" width="18" customWidth="1"/>
    <col min="10" max="10" width="9" hidden="1" customWidth="1"/>
    <col min="11" max="11" width="18" hidden="1" customWidth="1"/>
    <col min="12" max="13" width="11" hidden="1" customWidth="1"/>
    <col min="14" max="14" width="12" customWidth="1"/>
    <col min="15" max="15" width="22" customWidth="1"/>
  </cols>
  <sheetData>
    <row r="1" spans="1:15" ht="16.8" x14ac:dyDescent="0.3">
      <c r="A1" s="4" t="s">
        <v>359</v>
      </c>
    </row>
    <row r="2" spans="1:15" ht="27.75" hidden="1" customHeight="1" x14ac:dyDescent="0.3">
      <c r="A2" s="2" t="s">
        <v>360</v>
      </c>
      <c r="B2" s="2"/>
      <c r="C2" s="2"/>
      <c r="D2" s="2"/>
      <c r="E2" s="2"/>
      <c r="F2" s="2"/>
      <c r="G2" s="2"/>
      <c r="H2" s="2"/>
      <c r="I2" s="2"/>
      <c r="J2" s="2"/>
      <c r="K2" s="2"/>
      <c r="L2" s="2"/>
      <c r="M2" s="2"/>
      <c r="N2" s="2"/>
      <c r="O2" s="2"/>
    </row>
    <row r="4" spans="1:15" ht="30" customHeight="1" x14ac:dyDescent="0.3">
      <c r="A4" s="5" t="s">
        <v>48</v>
      </c>
      <c r="B4" s="5" t="s">
        <v>49</v>
      </c>
      <c r="C4" s="5" t="s">
        <v>50</v>
      </c>
      <c r="D4" s="5" t="s">
        <v>51</v>
      </c>
      <c r="E4" s="5" t="s">
        <v>52</v>
      </c>
      <c r="F4" s="5" t="s">
        <v>53</v>
      </c>
      <c r="G4" s="5" t="s">
        <v>54</v>
      </c>
      <c r="H4" s="5" t="s">
        <v>55</v>
      </c>
      <c r="I4" s="5" t="s">
        <v>56</v>
      </c>
      <c r="J4" s="5" t="s">
        <v>57</v>
      </c>
      <c r="K4" s="5" t="s">
        <v>58</v>
      </c>
      <c r="L4" s="5" t="s">
        <v>59</v>
      </c>
      <c r="M4" s="5" t="s">
        <v>60</v>
      </c>
      <c r="N4" s="5" t="s">
        <v>61</v>
      </c>
      <c r="O4" s="5" t="s">
        <v>62</v>
      </c>
    </row>
    <row r="5" spans="1:15" ht="19.5" customHeight="1" x14ac:dyDescent="0.3">
      <c r="A5" s="1" t="str">
        <f>"TV1 – "&amp;'Thành viên'!B4&amp;" – "&amp;'Thành viên'!E4</f>
        <v>TV1 – Phạm Ngọc Trung – Backend, AI, triển khai</v>
      </c>
      <c r="B5" s="1"/>
      <c r="C5" s="1"/>
      <c r="D5" s="1"/>
      <c r="E5" s="1"/>
      <c r="F5" s="1"/>
      <c r="G5" s="1"/>
      <c r="H5" s="1"/>
      <c r="I5" s="1"/>
      <c r="J5" s="1"/>
      <c r="K5" s="1"/>
      <c r="L5" s="1"/>
      <c r="M5" s="1"/>
      <c r="N5" s="1"/>
      <c r="O5" s="1"/>
    </row>
    <row r="6" spans="1:15" ht="57.75" customHeight="1" x14ac:dyDescent="0.3">
      <c r="A6" s="19" t="s">
        <v>361</v>
      </c>
      <c r="B6" s="20" t="s">
        <v>362</v>
      </c>
      <c r="C6" s="21" t="s">
        <v>363</v>
      </c>
      <c r="D6" s="21" t="s">
        <v>364</v>
      </c>
      <c r="E6" s="21" t="s">
        <v>365</v>
      </c>
      <c r="F6" s="21" t="s">
        <v>366</v>
      </c>
      <c r="G6" s="21" t="s">
        <v>367</v>
      </c>
      <c r="H6" s="19" t="s">
        <v>6</v>
      </c>
      <c r="I6" s="21" t="str">
        <f>IF(H6="","",IFERROR(IF(INDEX('Thành viên'!$B$4:$B$6,MATCH(H6,'Thành viên'!$A$4:$A$6,0))="","",INDEX('Thành viên'!$B$4:$B$6,MATCH(H6,'Thành viên'!$A$4:$A$6,0))),""))</f>
        <v>Phạm Ngọc Trung</v>
      </c>
      <c r="J6" s="19" t="s">
        <v>15</v>
      </c>
      <c r="K6" s="21" t="str">
        <f>IF(J6="","",IFERROR(IF(INDEX('Thành viên'!$B$4:$B$6,MATCH(J6,'Thành viên'!$A$4:$A$6,0))="","",INDEX('Thành viên'!$B$4:$B$6,MATCH(J6,'Thành viên'!$A$4:$A$6,0))),""))</f>
        <v>Nguyễn Văn Thu</v>
      </c>
      <c r="L6" s="22"/>
      <c r="M6" s="22"/>
      <c r="N6" s="19" t="s">
        <v>25</v>
      </c>
      <c r="O6" s="21"/>
    </row>
    <row r="7" spans="1:15" ht="84" customHeight="1" x14ac:dyDescent="0.3">
      <c r="A7" s="19" t="s">
        <v>368</v>
      </c>
      <c r="B7" s="20" t="s">
        <v>369</v>
      </c>
      <c r="C7" s="21" t="s">
        <v>370</v>
      </c>
      <c r="D7" s="21" t="s">
        <v>371</v>
      </c>
      <c r="E7" s="21" t="s">
        <v>372</v>
      </c>
      <c r="F7" s="21" t="s">
        <v>373</v>
      </c>
      <c r="G7" s="21" t="s">
        <v>374</v>
      </c>
      <c r="H7" s="19" t="s">
        <v>6</v>
      </c>
      <c r="I7" s="21" t="str">
        <f>IF(H7="","",IFERROR(IF(INDEX('Thành viên'!$B$4:$B$6,MATCH(H7,'Thành viên'!$A$4:$A$6,0))="","",INDEX('Thành viên'!$B$4:$B$6,MATCH(H7,'Thành viên'!$A$4:$A$6,0))),""))</f>
        <v>Phạm Ngọc Trung</v>
      </c>
      <c r="J7" s="19" t="s">
        <v>15</v>
      </c>
      <c r="K7" s="21" t="str">
        <f>IF(J7="","",IFERROR(IF(INDEX('Thành viên'!$B$4:$B$6,MATCH(J7,'Thành viên'!$A$4:$A$6,0))="","",INDEX('Thành viên'!$B$4:$B$6,MATCH(J7,'Thành viên'!$A$4:$A$6,0))),""))</f>
        <v>Nguyễn Văn Thu</v>
      </c>
      <c r="L7" s="22"/>
      <c r="M7" s="22"/>
      <c r="N7" s="19" t="s">
        <v>25</v>
      </c>
      <c r="O7" s="21"/>
    </row>
    <row r="8" spans="1:15" ht="19.5" customHeight="1" x14ac:dyDescent="0.3">
      <c r="A8" s="1" t="str">
        <f>"TV2 – "&amp;'Thành viên'!B5&amp;" – "&amp;'Thành viên'!E5</f>
        <v>TV2 – Trần Quốc Anh Hoàng – Frontend, giao diện</v>
      </c>
      <c r="B8" s="1"/>
      <c r="C8" s="1"/>
      <c r="D8" s="1"/>
      <c r="E8" s="1"/>
      <c r="F8" s="1"/>
      <c r="G8" s="1"/>
      <c r="H8" s="1"/>
      <c r="I8" s="1"/>
      <c r="J8" s="1"/>
      <c r="K8" s="1"/>
      <c r="L8" s="1"/>
      <c r="M8" s="1"/>
      <c r="N8" s="1"/>
      <c r="O8" s="1"/>
    </row>
    <row r="9" spans="1:15" ht="70.5" customHeight="1" x14ac:dyDescent="0.3">
      <c r="A9" s="19" t="s">
        <v>375</v>
      </c>
      <c r="B9" s="20" t="s">
        <v>376</v>
      </c>
      <c r="C9" s="21" t="s">
        <v>377</v>
      </c>
      <c r="D9" s="21" t="s">
        <v>378</v>
      </c>
      <c r="E9" s="21" t="s">
        <v>379</v>
      </c>
      <c r="F9" s="21" t="s">
        <v>380</v>
      </c>
      <c r="G9" s="21" t="s">
        <v>381</v>
      </c>
      <c r="H9" s="19" t="s">
        <v>11</v>
      </c>
      <c r="I9" s="21" t="str">
        <f>IF(H9="","",IFERROR(IF(INDEX('Thành viên'!$B$4:$B$6,MATCH(H9,'Thành viên'!$A$4:$A$6,0))="","",INDEX('Thành viên'!$B$4:$B$6,MATCH(H9,'Thành viên'!$A$4:$A$6,0))),""))</f>
        <v>Trần Quốc Anh Hoàng</v>
      </c>
      <c r="J9" s="19" t="s">
        <v>6</v>
      </c>
      <c r="K9" s="21" t="str">
        <f>IF(J9="","",IFERROR(IF(INDEX('Thành viên'!$B$4:$B$6,MATCH(J9,'Thành viên'!$A$4:$A$6,0))="","",INDEX('Thành viên'!$B$4:$B$6,MATCH(J9,'Thành viên'!$A$4:$A$6,0))),""))</f>
        <v>Phạm Ngọc Trung</v>
      </c>
      <c r="L9" s="22"/>
      <c r="M9" s="22"/>
      <c r="N9" s="19" t="s">
        <v>25</v>
      </c>
      <c r="O9" s="21"/>
    </row>
    <row r="10" spans="1:15" ht="45" customHeight="1" x14ac:dyDescent="0.3">
      <c r="A10" s="19" t="s">
        <v>382</v>
      </c>
      <c r="B10" s="20" t="s">
        <v>383</v>
      </c>
      <c r="C10" s="21" t="s">
        <v>384</v>
      </c>
      <c r="D10" s="21" t="s">
        <v>371</v>
      </c>
      <c r="E10" s="21" t="s">
        <v>385</v>
      </c>
      <c r="F10" s="21" t="s">
        <v>386</v>
      </c>
      <c r="G10" s="21" t="s">
        <v>387</v>
      </c>
      <c r="H10" s="19" t="s">
        <v>11</v>
      </c>
      <c r="I10" s="21" t="str">
        <f>IF(H10="","",IFERROR(IF(INDEX('Thành viên'!$B$4:$B$6,MATCH(H10,'Thành viên'!$A$4:$A$6,0))="","",INDEX('Thành viên'!$B$4:$B$6,MATCH(H10,'Thành viên'!$A$4:$A$6,0))),""))</f>
        <v>Trần Quốc Anh Hoàng</v>
      </c>
      <c r="J10" s="19" t="s">
        <v>6</v>
      </c>
      <c r="K10" s="21" t="str">
        <f>IF(J10="","",IFERROR(IF(INDEX('Thành viên'!$B$4:$B$6,MATCH(J10,'Thành viên'!$A$4:$A$6,0))="","",INDEX('Thành viên'!$B$4:$B$6,MATCH(J10,'Thành viên'!$A$4:$A$6,0))),""))</f>
        <v>Phạm Ngọc Trung</v>
      </c>
      <c r="L10" s="22"/>
      <c r="M10" s="22"/>
      <c r="N10" s="19" t="s">
        <v>25</v>
      </c>
      <c r="O10" s="21"/>
    </row>
    <row r="11" spans="1:15" ht="19.5" customHeight="1" x14ac:dyDescent="0.3">
      <c r="A11" s="1" t="str">
        <f>"TV3 – "&amp;'Thành viên'!B6&amp;" – "&amp;'Thành viên'!E6</f>
        <v>TV3 – Nguyễn Văn Thu – Phân tích nghiệp vụ, kiểm thử, tài liệu</v>
      </c>
      <c r="B11" s="1"/>
      <c r="C11" s="1"/>
      <c r="D11" s="1"/>
      <c r="E11" s="1"/>
      <c r="F11" s="1"/>
      <c r="G11" s="1"/>
      <c r="H11" s="1"/>
      <c r="I11" s="1"/>
      <c r="J11" s="1"/>
      <c r="K11" s="1"/>
      <c r="L11" s="1"/>
      <c r="M11" s="1"/>
      <c r="N11" s="1"/>
      <c r="O11" s="1"/>
    </row>
    <row r="12" spans="1:15" ht="84" customHeight="1" x14ac:dyDescent="0.3">
      <c r="A12" s="19" t="s">
        <v>388</v>
      </c>
      <c r="B12" s="20" t="s">
        <v>389</v>
      </c>
      <c r="C12" s="21" t="s">
        <v>390</v>
      </c>
      <c r="D12" s="21" t="s">
        <v>169</v>
      </c>
      <c r="E12" s="21" t="s">
        <v>391</v>
      </c>
      <c r="F12" s="21" t="s">
        <v>392</v>
      </c>
      <c r="G12" s="21" t="s">
        <v>149</v>
      </c>
      <c r="H12" s="19" t="s">
        <v>15</v>
      </c>
      <c r="I12" s="21" t="str">
        <f>IF(H12="","",IFERROR(IF(INDEX('Thành viên'!$B$4:$B$6,MATCH(H12,'Thành viên'!$A$4:$A$6,0))="","",INDEX('Thành viên'!$B$4:$B$6,MATCH(H12,'Thành viên'!$A$4:$A$6,0))),""))</f>
        <v>Nguyễn Văn Thu</v>
      </c>
      <c r="J12" s="19" t="s">
        <v>6</v>
      </c>
      <c r="K12" s="21" t="str">
        <f>IF(J12="","",IFERROR(IF(INDEX('Thành viên'!$B$4:$B$6,MATCH(J12,'Thành viên'!$A$4:$A$6,0))="","",INDEX('Thành viên'!$B$4:$B$6,MATCH(J12,'Thành viên'!$A$4:$A$6,0))),""))</f>
        <v>Phạm Ngọc Trung</v>
      </c>
      <c r="L12" s="22"/>
      <c r="M12" s="22"/>
      <c r="N12" s="19" t="s">
        <v>25</v>
      </c>
      <c r="O12" s="21"/>
    </row>
    <row r="13" spans="1:15" ht="96.75" customHeight="1" x14ac:dyDescent="0.3">
      <c r="A13" s="19" t="s">
        <v>393</v>
      </c>
      <c r="B13" s="20" t="s">
        <v>394</v>
      </c>
      <c r="C13" s="21" t="s">
        <v>395</v>
      </c>
      <c r="D13" s="21" t="s">
        <v>396</v>
      </c>
      <c r="E13" s="21" t="s">
        <v>397</v>
      </c>
      <c r="F13" s="21" t="s">
        <v>398</v>
      </c>
      <c r="G13" s="21" t="s">
        <v>399</v>
      </c>
      <c r="H13" s="19" t="s">
        <v>15</v>
      </c>
      <c r="I13" s="21" t="str">
        <f>IF(H13="","",IFERROR(IF(INDEX('Thành viên'!$B$4:$B$6,MATCH(H13,'Thành viên'!$A$4:$A$6,0))="","",INDEX('Thành viên'!$B$4:$B$6,MATCH(H13,'Thành viên'!$A$4:$A$6,0))),""))</f>
        <v>Nguyễn Văn Thu</v>
      </c>
      <c r="J13" s="19" t="s">
        <v>6</v>
      </c>
      <c r="K13" s="21" t="str">
        <f>IF(J13="","",IFERROR(IF(INDEX('Thành viên'!$B$4:$B$6,MATCH(J13,'Thành viên'!$A$4:$A$6,0))="","",INDEX('Thành viên'!$B$4:$B$6,MATCH(J13,'Thành viên'!$A$4:$A$6,0))),""))</f>
        <v>Phạm Ngọc Trung</v>
      </c>
      <c r="L13" s="22"/>
      <c r="M13" s="22"/>
      <c r="N13" s="19" t="s">
        <v>25</v>
      </c>
      <c r="O13" s="21"/>
    </row>
    <row r="14" spans="1:15" ht="96.75" customHeight="1" x14ac:dyDescent="0.3">
      <c r="A14" s="19" t="s">
        <v>400</v>
      </c>
      <c r="B14" s="20" t="s">
        <v>401</v>
      </c>
      <c r="C14" s="21" t="s">
        <v>402</v>
      </c>
      <c r="D14" s="21" t="s">
        <v>403</v>
      </c>
      <c r="E14" s="21" t="s">
        <v>404</v>
      </c>
      <c r="F14" s="21" t="s">
        <v>405</v>
      </c>
      <c r="G14" s="21" t="s">
        <v>406</v>
      </c>
      <c r="H14" s="19" t="s">
        <v>15</v>
      </c>
      <c r="I14" s="21" t="str">
        <f>IF(H14="","",IFERROR(IF(INDEX('Thành viên'!$B$4:$B$6,MATCH(H14,'Thành viên'!$A$4:$A$6,0))="","",INDEX('Thành viên'!$B$4:$B$6,MATCH(H14,'Thành viên'!$A$4:$A$6,0))),""))</f>
        <v>Nguyễn Văn Thu</v>
      </c>
      <c r="J14" s="19" t="s">
        <v>6</v>
      </c>
      <c r="K14" s="21" t="str">
        <f>IF(J14="","",IFERROR(IF(INDEX('Thành viên'!$B$4:$B$6,MATCH(J14,'Thành viên'!$A$4:$A$6,0))="","",INDEX('Thành viên'!$B$4:$B$6,MATCH(J14,'Thành viên'!$A$4:$A$6,0))),""))</f>
        <v>Phạm Ngọc Trung</v>
      </c>
      <c r="L14" s="22"/>
      <c r="M14" s="22"/>
      <c r="N14" s="19" t="s">
        <v>25</v>
      </c>
      <c r="O14" s="21"/>
    </row>
  </sheetData>
  <mergeCells count="4">
    <mergeCell ref="A2:O2"/>
    <mergeCell ref="A5:O5"/>
    <mergeCell ref="A8:O8"/>
    <mergeCell ref="A11:O11"/>
  </mergeCells>
  <dataValidations count="2">
    <dataValidation type="list" showErrorMessage="1" errorTitle="Trạng thái" error="Chọn: Chưa làm, Đang làm hoặc Đã làm." sqref="N6:N7 N9:N10 N12:N14" xr:uid="{00000000-0002-0000-0600-000000000000}">
      <formula1>"Chưa làm,Đang làm,Đã làm"</formula1>
      <formula2>0</formula2>
    </dataValidation>
    <dataValidation type="date" operator="greaterThan" allowBlank="1" showErrorMessage="1" errorTitle="Ngày" error="Nhập ngày dạng dd/mm/yyyy." sqref="L6:M7 L9:M10 L12:M14" xr:uid="{00000000-0002-0000-0600-000002000000}">
      <formula1>DATE(2026,1,1)</formula1>
      <formula2>0</formula2>
    </dataValidation>
  </dataValidations>
  <pageMargins left="0.3" right="0.3"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600-000001000000}">
          <x14:formula1>
            <xm:f>'Thành viên'!$A$4:$A$6</xm:f>
          </x14:formula1>
          <x14:formula2>
            <xm:f>0</xm:f>
          </x14:formula2>
          <xm:sqref>H6:H7 J6:J7 H9:H10 J9:J10 H12:H14 J12:J14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14"/>
  <sheetViews>
    <sheetView showGridLines="0" zoomScale="73" zoomScaleNormal="100" workbookViewId="0">
      <pane xSplit="2" ySplit="4" topLeftCell="I5" activePane="bottomRight" state="frozen"/>
      <selection pane="topRight" activeCell="C1" sqref="C1"/>
      <selection pane="bottomLeft" activeCell="A5" sqref="A5"/>
      <selection pane="bottomRight" activeCell="J1" sqref="J1:M1048576"/>
    </sheetView>
  </sheetViews>
  <sheetFormatPr defaultColWidth="8.6640625" defaultRowHeight="14.4" x14ac:dyDescent="0.3"/>
  <cols>
    <col min="1" max="1" width="8" customWidth="1"/>
    <col min="2" max="2" width="24" customWidth="1"/>
    <col min="3" max="3" width="62" customWidth="1"/>
    <col min="4" max="4" width="22" customWidth="1"/>
    <col min="5" max="5" width="24" customWidth="1"/>
    <col min="6" max="6" width="30" customWidth="1"/>
    <col min="7" max="7" width="18" customWidth="1"/>
    <col min="8" max="8" width="7" hidden="1" customWidth="1"/>
    <col min="9" max="9" width="18" customWidth="1"/>
    <col min="10" max="10" width="9" hidden="1" customWidth="1"/>
    <col min="11" max="11" width="18" hidden="1" customWidth="1"/>
    <col min="12" max="13" width="11" hidden="1" customWidth="1"/>
    <col min="14" max="14" width="12" customWidth="1"/>
    <col min="15" max="15" width="22" customWidth="1"/>
  </cols>
  <sheetData>
    <row r="1" spans="1:15" ht="16.8" x14ac:dyDescent="0.3">
      <c r="A1" s="4" t="s">
        <v>407</v>
      </c>
    </row>
    <row r="2" spans="1:15" ht="27.75" hidden="1" customHeight="1" x14ac:dyDescent="0.3">
      <c r="A2" s="2" t="s">
        <v>408</v>
      </c>
      <c r="B2" s="2"/>
      <c r="C2" s="2"/>
      <c r="D2" s="2"/>
      <c r="E2" s="2"/>
      <c r="F2" s="2"/>
      <c r="G2" s="2"/>
      <c r="H2" s="2"/>
      <c r="I2" s="2"/>
      <c r="J2" s="2"/>
      <c r="K2" s="2"/>
      <c r="L2" s="2"/>
      <c r="M2" s="2"/>
      <c r="N2" s="2"/>
      <c r="O2" s="2"/>
    </row>
    <row r="4" spans="1:15" ht="30" customHeight="1" x14ac:dyDescent="0.3">
      <c r="A4" s="5" t="s">
        <v>48</v>
      </c>
      <c r="B4" s="5" t="s">
        <v>49</v>
      </c>
      <c r="C4" s="5" t="s">
        <v>50</v>
      </c>
      <c r="D4" s="5" t="s">
        <v>51</v>
      </c>
      <c r="E4" s="5" t="s">
        <v>52</v>
      </c>
      <c r="F4" s="5" t="s">
        <v>53</v>
      </c>
      <c r="G4" s="5" t="s">
        <v>54</v>
      </c>
      <c r="H4" s="5" t="s">
        <v>55</v>
      </c>
      <c r="I4" s="5" t="s">
        <v>56</v>
      </c>
      <c r="J4" s="5" t="s">
        <v>57</v>
      </c>
      <c r="K4" s="5" t="s">
        <v>58</v>
      </c>
      <c r="L4" s="5" t="s">
        <v>59</v>
      </c>
      <c r="M4" s="5" t="s">
        <v>60</v>
      </c>
      <c r="N4" s="5" t="s">
        <v>61</v>
      </c>
      <c r="O4" s="5" t="s">
        <v>62</v>
      </c>
    </row>
    <row r="5" spans="1:15" ht="19.5" customHeight="1" x14ac:dyDescent="0.3">
      <c r="A5" s="1" t="str">
        <f>"TV1 – "&amp;'Thành viên'!B4&amp;" – "&amp;'Thành viên'!E4</f>
        <v>TV1 – Phạm Ngọc Trung – Backend, AI, triển khai</v>
      </c>
      <c r="B5" s="1"/>
      <c r="C5" s="1"/>
      <c r="D5" s="1"/>
      <c r="E5" s="1"/>
      <c r="F5" s="1"/>
      <c r="G5" s="1"/>
      <c r="H5" s="1"/>
      <c r="I5" s="1"/>
      <c r="J5" s="1"/>
      <c r="K5" s="1"/>
      <c r="L5" s="1"/>
      <c r="M5" s="1"/>
      <c r="N5" s="1"/>
      <c r="O5" s="1"/>
    </row>
    <row r="6" spans="1:15" ht="96.75" customHeight="1" x14ac:dyDescent="0.3">
      <c r="A6" s="19" t="s">
        <v>409</v>
      </c>
      <c r="B6" s="20" t="s">
        <v>410</v>
      </c>
      <c r="C6" s="21" t="s">
        <v>411</v>
      </c>
      <c r="D6" s="21" t="s">
        <v>412</v>
      </c>
      <c r="E6" s="21" t="s">
        <v>413</v>
      </c>
      <c r="F6" s="21" t="s">
        <v>414</v>
      </c>
      <c r="G6" s="21" t="s">
        <v>415</v>
      </c>
      <c r="H6" s="19" t="s">
        <v>6</v>
      </c>
      <c r="I6" s="21" t="str">
        <f>IF(H6="","",IFERROR(IF(INDEX('Thành viên'!$B$4:$B$6,MATCH(H6,'Thành viên'!$A$4:$A$6,0))="","",INDEX('Thành viên'!$B$4:$B$6,MATCH(H6,'Thành viên'!$A$4:$A$6,0))),""))</f>
        <v>Phạm Ngọc Trung</v>
      </c>
      <c r="J6" s="19" t="s">
        <v>15</v>
      </c>
      <c r="K6" s="21" t="str">
        <f>IF(J6="","",IFERROR(IF(INDEX('Thành viên'!$B$4:$B$6,MATCH(J6,'Thành viên'!$A$4:$A$6,0))="","",INDEX('Thành viên'!$B$4:$B$6,MATCH(J6,'Thành viên'!$A$4:$A$6,0))),""))</f>
        <v>Nguyễn Văn Thu</v>
      </c>
      <c r="L6" s="22"/>
      <c r="M6" s="22"/>
      <c r="N6" s="19" t="s">
        <v>25</v>
      </c>
      <c r="O6" s="21"/>
    </row>
    <row r="7" spans="1:15" ht="70.5" customHeight="1" x14ac:dyDescent="0.3">
      <c r="A7" s="19" t="s">
        <v>416</v>
      </c>
      <c r="B7" s="20" t="s">
        <v>417</v>
      </c>
      <c r="C7" s="21" t="s">
        <v>418</v>
      </c>
      <c r="D7" s="21" t="s">
        <v>419</v>
      </c>
      <c r="E7" s="21" t="s">
        <v>420</v>
      </c>
      <c r="F7" s="21" t="s">
        <v>421</v>
      </c>
      <c r="G7" s="21" t="s">
        <v>422</v>
      </c>
      <c r="H7" s="19" t="s">
        <v>6</v>
      </c>
      <c r="I7" s="21" t="str">
        <f>IF(H7="","",IFERROR(IF(INDEX('Thành viên'!$B$4:$B$6,MATCH(H7,'Thành viên'!$A$4:$A$6,0))="","",INDEX('Thành viên'!$B$4:$B$6,MATCH(H7,'Thành viên'!$A$4:$A$6,0))),""))</f>
        <v>Phạm Ngọc Trung</v>
      </c>
      <c r="J7" s="19"/>
      <c r="K7" s="21" t="str">
        <f>IF(J7="","",IFERROR(IF(INDEX('Thành viên'!$B$4:$B$6,MATCH(J7,'Thành viên'!$A$4:$A$6,0))="","",INDEX('Thành viên'!$B$4:$B$6,MATCH(J7,'Thành viên'!$A$4:$A$6,0))),""))</f>
        <v/>
      </c>
      <c r="L7" s="22"/>
      <c r="M7" s="22"/>
      <c r="N7" s="19" t="s">
        <v>25</v>
      </c>
      <c r="O7" s="21"/>
    </row>
    <row r="8" spans="1:15" ht="19.5" customHeight="1" x14ac:dyDescent="0.3">
      <c r="A8" s="1" t="str">
        <f>"TV2 – "&amp;'Thành viên'!B5&amp;" – "&amp;'Thành viên'!E5</f>
        <v>TV2 – Trần Quốc Anh Hoàng – Frontend, giao diện</v>
      </c>
      <c r="B8" s="1"/>
      <c r="C8" s="1"/>
      <c r="D8" s="1"/>
      <c r="E8" s="1"/>
      <c r="F8" s="1"/>
      <c r="G8" s="1"/>
      <c r="H8" s="1"/>
      <c r="I8" s="1"/>
      <c r="J8" s="1"/>
      <c r="K8" s="1"/>
      <c r="L8" s="1"/>
      <c r="M8" s="1"/>
      <c r="N8" s="1"/>
      <c r="O8" s="1"/>
    </row>
    <row r="9" spans="1:15" ht="57.75" customHeight="1" x14ac:dyDescent="0.3">
      <c r="A9" s="19" t="s">
        <v>423</v>
      </c>
      <c r="B9" s="20" t="s">
        <v>424</v>
      </c>
      <c r="C9" s="21" t="s">
        <v>425</v>
      </c>
      <c r="D9" s="21" t="s">
        <v>426</v>
      </c>
      <c r="E9" s="21" t="s">
        <v>427</v>
      </c>
      <c r="F9" s="21" t="s">
        <v>428</v>
      </c>
      <c r="G9" s="21" t="s">
        <v>429</v>
      </c>
      <c r="H9" s="19" t="s">
        <v>11</v>
      </c>
      <c r="I9" s="21" t="str">
        <f>IF(H9="","",IFERROR(IF(INDEX('Thành viên'!$B$4:$B$6,MATCH(H9,'Thành viên'!$A$4:$A$6,0))="","",INDEX('Thành viên'!$B$4:$B$6,MATCH(H9,'Thành viên'!$A$4:$A$6,0))),""))</f>
        <v>Trần Quốc Anh Hoàng</v>
      </c>
      <c r="J9" s="19" t="s">
        <v>15</v>
      </c>
      <c r="K9" s="21" t="str">
        <f>IF(J9="","",IFERROR(IF(INDEX('Thành viên'!$B$4:$B$6,MATCH(J9,'Thành viên'!$A$4:$A$6,0))="","",INDEX('Thành viên'!$B$4:$B$6,MATCH(J9,'Thành viên'!$A$4:$A$6,0))),""))</f>
        <v>Nguyễn Văn Thu</v>
      </c>
      <c r="L9" s="22"/>
      <c r="M9" s="22"/>
      <c r="N9" s="19" t="s">
        <v>25</v>
      </c>
      <c r="O9" s="21"/>
    </row>
    <row r="10" spans="1:15" ht="57.75" customHeight="1" x14ac:dyDescent="0.3">
      <c r="A10" s="19" t="s">
        <v>430</v>
      </c>
      <c r="B10" s="20" t="s">
        <v>431</v>
      </c>
      <c r="C10" s="21" t="s">
        <v>432</v>
      </c>
      <c r="D10" s="21" t="s">
        <v>433</v>
      </c>
      <c r="E10" s="21" t="s">
        <v>434</v>
      </c>
      <c r="F10" s="21" t="s">
        <v>435</v>
      </c>
      <c r="G10" s="21" t="s">
        <v>436</v>
      </c>
      <c r="H10" s="19" t="s">
        <v>11</v>
      </c>
      <c r="I10" s="21" t="str">
        <f>IF(H10="","",IFERROR(IF(INDEX('Thành viên'!$B$4:$B$6,MATCH(H10,'Thành viên'!$A$4:$A$6,0))="","",INDEX('Thành viên'!$B$4:$B$6,MATCH(H10,'Thành viên'!$A$4:$A$6,0))),""))</f>
        <v>Trần Quốc Anh Hoàng</v>
      </c>
      <c r="J10" s="19" t="s">
        <v>6</v>
      </c>
      <c r="K10" s="21" t="str">
        <f>IF(J10="","",IFERROR(IF(INDEX('Thành viên'!$B$4:$B$6,MATCH(J10,'Thành viên'!$A$4:$A$6,0))="","",INDEX('Thành viên'!$B$4:$B$6,MATCH(J10,'Thành viên'!$A$4:$A$6,0))),""))</f>
        <v>Phạm Ngọc Trung</v>
      </c>
      <c r="L10" s="22"/>
      <c r="M10" s="22"/>
      <c r="N10" s="19" t="s">
        <v>25</v>
      </c>
      <c r="O10" s="21"/>
    </row>
    <row r="11" spans="1:15" ht="57.75" customHeight="1" x14ac:dyDescent="0.3">
      <c r="A11" s="19" t="s">
        <v>437</v>
      </c>
      <c r="B11" s="20" t="s">
        <v>438</v>
      </c>
      <c r="C11" s="21" t="s">
        <v>439</v>
      </c>
      <c r="D11" s="21" t="s">
        <v>440</v>
      </c>
      <c r="E11" s="21" t="s">
        <v>441</v>
      </c>
      <c r="F11" s="21" t="s">
        <v>442</v>
      </c>
      <c r="G11" s="21" t="s">
        <v>436</v>
      </c>
      <c r="H11" s="19" t="s">
        <v>11</v>
      </c>
      <c r="I11" s="21" t="str">
        <f>IF(H11="","",IFERROR(IF(INDEX('Thành viên'!$B$4:$B$6,MATCH(H11,'Thành viên'!$A$4:$A$6,0))="","",INDEX('Thành viên'!$B$4:$B$6,MATCH(H11,'Thành viên'!$A$4:$A$6,0))),""))</f>
        <v>Trần Quốc Anh Hoàng</v>
      </c>
      <c r="J11" s="19" t="s">
        <v>6</v>
      </c>
      <c r="K11" s="21" t="str">
        <f>IF(J11="","",IFERROR(IF(INDEX('Thành viên'!$B$4:$B$6,MATCH(J11,'Thành viên'!$A$4:$A$6,0))="","",INDEX('Thành viên'!$B$4:$B$6,MATCH(J11,'Thành viên'!$A$4:$A$6,0))),""))</f>
        <v>Phạm Ngọc Trung</v>
      </c>
      <c r="L11" s="22"/>
      <c r="M11" s="22"/>
      <c r="N11" s="19" t="s">
        <v>25</v>
      </c>
      <c r="O11" s="21"/>
    </row>
    <row r="12" spans="1:15" ht="19.5" customHeight="1" x14ac:dyDescent="0.3">
      <c r="A12" s="1" t="str">
        <f>"TV3 – "&amp;'Thành viên'!B6&amp;" – "&amp;'Thành viên'!E6</f>
        <v>TV3 – Nguyễn Văn Thu – Phân tích nghiệp vụ, kiểm thử, tài liệu</v>
      </c>
      <c r="B12" s="1"/>
      <c r="C12" s="1"/>
      <c r="D12" s="1"/>
      <c r="E12" s="1"/>
      <c r="F12" s="1"/>
      <c r="G12" s="1"/>
      <c r="H12" s="1"/>
      <c r="I12" s="1"/>
      <c r="J12" s="1"/>
      <c r="K12" s="1"/>
      <c r="L12" s="1"/>
      <c r="M12" s="1"/>
      <c r="N12" s="1"/>
      <c r="O12" s="1"/>
    </row>
    <row r="13" spans="1:15" ht="70.5" customHeight="1" x14ac:dyDescent="0.3">
      <c r="A13" s="19" t="s">
        <v>443</v>
      </c>
      <c r="B13" s="20" t="s">
        <v>444</v>
      </c>
      <c r="C13" s="21" t="s">
        <v>445</v>
      </c>
      <c r="D13" s="21" t="s">
        <v>446</v>
      </c>
      <c r="E13" s="21" t="s">
        <v>447</v>
      </c>
      <c r="F13" s="21" t="s">
        <v>448</v>
      </c>
      <c r="G13" s="21" t="s">
        <v>449</v>
      </c>
      <c r="H13" s="19" t="s">
        <v>15</v>
      </c>
      <c r="I13" s="21" t="str">
        <f>IF(H13="","",IFERROR(IF(INDEX('Thành viên'!$B$4:$B$6,MATCH(H13,'Thành viên'!$A$4:$A$6,0))="","",INDEX('Thành viên'!$B$4:$B$6,MATCH(H13,'Thành viên'!$A$4:$A$6,0))),""))</f>
        <v>Nguyễn Văn Thu</v>
      </c>
      <c r="J13" s="19" t="s">
        <v>6</v>
      </c>
      <c r="K13" s="21" t="str">
        <f>IF(J13="","",IFERROR(IF(INDEX('Thành viên'!$B$4:$B$6,MATCH(J13,'Thành viên'!$A$4:$A$6,0))="","",INDEX('Thành viên'!$B$4:$B$6,MATCH(J13,'Thành viên'!$A$4:$A$6,0))),""))</f>
        <v>Phạm Ngọc Trung</v>
      </c>
      <c r="L13" s="22"/>
      <c r="M13" s="22"/>
      <c r="N13" s="19" t="s">
        <v>25</v>
      </c>
      <c r="O13" s="21"/>
    </row>
    <row r="14" spans="1:15" ht="84" customHeight="1" x14ac:dyDescent="0.3">
      <c r="A14" s="19" t="s">
        <v>450</v>
      </c>
      <c r="B14" s="20" t="s">
        <v>451</v>
      </c>
      <c r="C14" s="21" t="s">
        <v>452</v>
      </c>
      <c r="D14" s="21" t="s">
        <v>453</v>
      </c>
      <c r="E14" s="21" t="s">
        <v>454</v>
      </c>
      <c r="F14" s="21" t="s">
        <v>455</v>
      </c>
      <c r="G14" s="21" t="s">
        <v>456</v>
      </c>
      <c r="H14" s="19" t="s">
        <v>15</v>
      </c>
      <c r="I14" s="21" t="str">
        <f>IF(H14="","",IFERROR(IF(INDEX('Thành viên'!$B$4:$B$6,MATCH(H14,'Thành viên'!$A$4:$A$6,0))="","",INDEX('Thành viên'!$B$4:$B$6,MATCH(H14,'Thành viên'!$A$4:$A$6,0))),""))</f>
        <v>Nguyễn Văn Thu</v>
      </c>
      <c r="J14" s="19" t="s">
        <v>6</v>
      </c>
      <c r="K14" s="21" t="str">
        <f>IF(J14="","",IFERROR(IF(INDEX('Thành viên'!$B$4:$B$6,MATCH(J14,'Thành viên'!$A$4:$A$6,0))="","",INDEX('Thành viên'!$B$4:$B$6,MATCH(J14,'Thành viên'!$A$4:$A$6,0))),""))</f>
        <v>Phạm Ngọc Trung</v>
      </c>
      <c r="L14" s="22"/>
      <c r="M14" s="22"/>
      <c r="N14" s="19" t="s">
        <v>25</v>
      </c>
      <c r="O14" s="21"/>
    </row>
  </sheetData>
  <mergeCells count="4">
    <mergeCell ref="A2:O2"/>
    <mergeCell ref="A5:O5"/>
    <mergeCell ref="A8:O8"/>
    <mergeCell ref="A12:O12"/>
  </mergeCells>
  <dataValidations count="2">
    <dataValidation type="list" showErrorMessage="1" errorTitle="Trạng thái" error="Chọn: Chưa làm, Đang làm hoặc Đã làm." sqref="N6:N7 N9:N11 N13:N14" xr:uid="{00000000-0002-0000-0700-000000000000}">
      <formula1>"Chưa làm,Đang làm,Đã làm"</formula1>
      <formula2>0</formula2>
    </dataValidation>
    <dataValidation type="date" operator="greaterThan" allowBlank="1" showErrorMessage="1" errorTitle="Ngày" error="Nhập ngày dạng dd/mm/yyyy." sqref="L6:M7 L9:M11 L13:M14" xr:uid="{00000000-0002-0000-0700-000002000000}">
      <formula1>DATE(2026,1,1)</formula1>
      <formula2>0</formula2>
    </dataValidation>
  </dataValidations>
  <pageMargins left="0.3" right="0.3"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1000000}">
          <x14:formula1>
            <xm:f>'Thành viên'!$A$4:$A$6</xm:f>
          </x14:formula1>
          <x14:formula2>
            <xm:f>0</xm:f>
          </x14:formula2>
          <xm:sqref>H6:H7 J6:J7 H9:H11 J9:J11 H13:H14 J13:J14</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Thành viên</vt:lpstr>
      <vt:lpstr>Tiến độ</vt:lpstr>
      <vt:lpstr>GĐ1 Quản lý dự án</vt:lpstr>
      <vt:lpstr>GĐ2 Phân tích yêu cầu</vt:lpstr>
      <vt:lpstr>GĐ3 Thiết kế</vt:lpstr>
      <vt:lpstr>GĐ4 Lập trình</vt:lpstr>
      <vt:lpstr>GĐ5 Kiểm thử</vt:lpstr>
      <vt:lpstr>GĐ6 Triển khai và bảo vệ</vt:lpstr>
      <vt:lpstr>'GĐ1 Quản lý dự án'!Print_Titles</vt:lpstr>
      <vt:lpstr>'GĐ2 Phân tích yêu cầu'!Print_Titles</vt:lpstr>
      <vt:lpstr>'GĐ3 Thiết kế'!Print_Titles</vt:lpstr>
      <vt:lpstr>'GĐ4 Lập trình'!Print_Titles</vt:lpstr>
      <vt:lpstr>'GĐ5 Kiểm thử'!Print_Titles</vt:lpstr>
      <vt:lpstr>'GĐ6 Triển khai và bảo vệ'!Print_Titles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Trung Phạm Ngọc</cp:lastModifiedBy>
  <cp:revision>0</cp:revision>
  <dcterms:created xsi:type="dcterms:W3CDTF">2026-10-23T09:24:43Z</dcterms:created>
  <dcterms:modified xsi:type="dcterms:W3CDTF">2026-10-23T09:36:15Z</dcterms:modified>
  <dc:language>en-US</dc:language>
</cp:coreProperties>
</file>