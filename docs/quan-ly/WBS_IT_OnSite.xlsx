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Đồ án thực tế công nghệ phần mềm\"/>
    </mc:Choice>
  </mc:AlternateContent>
  <xr:revisionPtr revIDLastSave="0" documentId="13_ncr:1_{3E54227E-C65E-47AD-9312-DB517D18389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hông tin" sheetId="1" r:id="rId1"/>
    <sheet name="WBS" sheetId="2" r:id="rId2"/>
    <sheet name="Phân công" sheetId="3" r:id="rId3"/>
    <sheet name="Deliverables" sheetId="4" r:id="rId4"/>
  </sheets>
  <definedNames>
    <definedName name="_xlnm._FilterDatabase" localSheetId="1" hidden="1">WBS!$A$4:$L$53</definedName>
    <definedName name="_xlnm.Print_Titles" localSheetId="1">WBS!$4:$4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3" l="1"/>
  <c r="F18" i="3"/>
  <c r="E18" i="3"/>
  <c r="C18" i="3"/>
  <c r="B18" i="3"/>
  <c r="G17" i="3"/>
  <c r="F17" i="3"/>
  <c r="E17" i="3"/>
  <c r="C17" i="3"/>
  <c r="B17" i="3"/>
  <c r="G16" i="3"/>
  <c r="F16" i="3"/>
  <c r="E16" i="3"/>
  <c r="C16" i="3"/>
  <c r="B16" i="3"/>
  <c r="G15" i="3"/>
  <c r="F15" i="3"/>
  <c r="E15" i="3"/>
  <c r="C15" i="3"/>
  <c r="B15" i="3"/>
  <c r="G14" i="3"/>
  <c r="F14" i="3"/>
  <c r="E14" i="3"/>
  <c r="C14" i="3"/>
  <c r="B14" i="3"/>
  <c r="G13" i="3"/>
  <c r="F13" i="3"/>
  <c r="E13" i="3"/>
  <c r="C13" i="3"/>
  <c r="B13" i="3"/>
  <c r="D7" i="3"/>
  <c r="C7" i="3"/>
  <c r="B7" i="3"/>
  <c r="D6" i="3"/>
  <c r="C6" i="3"/>
  <c r="B6" i="3"/>
  <c r="D5" i="3"/>
  <c r="C5" i="3"/>
  <c r="B5" i="3"/>
  <c r="J54" i="2"/>
  <c r="H54" i="2"/>
  <c r="G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I53" i="2"/>
  <c r="E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I52" i="2"/>
  <c r="E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I51" i="2"/>
  <c r="E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I50" i="2"/>
  <c r="E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I49" i="2"/>
  <c r="E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I48" i="2"/>
  <c r="E48" i="2"/>
  <c r="J47" i="2"/>
  <c r="H47" i="2"/>
  <c r="G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I46" i="2"/>
  <c r="E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I45" i="2"/>
  <c r="E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I44" i="2"/>
  <c r="E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I43" i="2"/>
  <c r="E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I42" i="2"/>
  <c r="E42" i="2"/>
  <c r="J41" i="2"/>
  <c r="H41" i="2"/>
  <c r="G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I40" i="2"/>
  <c r="E40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I39" i="2"/>
  <c r="E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I38" i="2"/>
  <c r="E38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I37" i="2"/>
  <c r="E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I36" i="2"/>
  <c r="E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I35" i="2"/>
  <c r="E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I34" i="2"/>
  <c r="E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I33" i="2"/>
  <c r="E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I32" i="2"/>
  <c r="E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I31" i="2"/>
  <c r="E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I30" i="2"/>
  <c r="E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I29" i="2"/>
  <c r="E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I28" i="2"/>
  <c r="E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I27" i="2"/>
  <c r="E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I26" i="2"/>
  <c r="E26" i="2"/>
  <c r="J25" i="2"/>
  <c r="H25" i="2"/>
  <c r="G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I24" i="2"/>
  <c r="E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I23" i="2"/>
  <c r="E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I22" i="2"/>
  <c r="E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I21" i="2"/>
  <c r="E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I20" i="2"/>
  <c r="E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I19" i="2"/>
  <c r="E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I18" i="2"/>
  <c r="E18" i="2"/>
  <c r="J17" i="2"/>
  <c r="H17" i="2"/>
  <c r="G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I16" i="2"/>
  <c r="E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I15" i="2"/>
  <c r="E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I14" i="2"/>
  <c r="E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I13" i="2"/>
  <c r="E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I12" i="2"/>
  <c r="E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I11" i="2"/>
  <c r="E11" i="2"/>
  <c r="J10" i="2"/>
  <c r="H10" i="2"/>
  <c r="G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I9" i="2"/>
  <c r="E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I8" i="2"/>
  <c r="E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I7" i="2"/>
  <c r="E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I6" i="2"/>
  <c r="E6" i="2"/>
  <c r="J5" i="2"/>
  <c r="H5" i="2"/>
  <c r="G5" i="2"/>
  <c r="I47" i="2" l="1"/>
  <c r="I41" i="2"/>
  <c r="I5" i="2"/>
  <c r="I25" i="2"/>
  <c r="I17" i="2"/>
  <c r="I10" i="2"/>
  <c r="E7" i="3"/>
  <c r="F7" i="3"/>
  <c r="F6" i="3"/>
  <c r="E6" i="3"/>
  <c r="F5" i="3"/>
  <c r="E5" i="3"/>
  <c r="Z47" i="2"/>
  <c r="Y47" i="2"/>
  <c r="X47" i="2"/>
  <c r="W47" i="2"/>
  <c r="V47" i="2"/>
  <c r="U47" i="2"/>
  <c r="T47" i="2"/>
  <c r="R47" i="2"/>
  <c r="Q47" i="2"/>
  <c r="P47" i="2"/>
  <c r="O47" i="2"/>
  <c r="N47" i="2"/>
  <c r="M47" i="2"/>
  <c r="S47" i="2"/>
  <c r="X41" i="2"/>
  <c r="W41" i="2"/>
  <c r="V41" i="2"/>
  <c r="U41" i="2"/>
  <c r="T41" i="2"/>
  <c r="S41" i="2"/>
  <c r="Q41" i="2"/>
  <c r="P41" i="2"/>
  <c r="O41" i="2"/>
  <c r="N41" i="2"/>
  <c r="M41" i="2"/>
  <c r="R41" i="2"/>
  <c r="Z41" i="2"/>
  <c r="Y41" i="2"/>
  <c r="V25" i="2"/>
  <c r="Z25" i="2"/>
  <c r="Y25" i="2"/>
  <c r="X25" i="2"/>
  <c r="W25" i="2"/>
  <c r="U25" i="2"/>
  <c r="T25" i="2"/>
  <c r="S25" i="2"/>
  <c r="R25" i="2"/>
  <c r="Q25" i="2"/>
  <c r="P25" i="2"/>
  <c r="O25" i="2"/>
  <c r="N25" i="2"/>
  <c r="M25" i="2"/>
  <c r="Y17" i="2"/>
  <c r="X17" i="2"/>
  <c r="W17" i="2"/>
  <c r="V17" i="2"/>
  <c r="U17" i="2"/>
  <c r="T17" i="2"/>
  <c r="Z17" i="2"/>
  <c r="R17" i="2"/>
  <c r="Q17" i="2"/>
  <c r="P17" i="2"/>
  <c r="O17" i="2"/>
  <c r="N17" i="2"/>
  <c r="M17" i="2"/>
  <c r="S17" i="2"/>
  <c r="P10" i="2"/>
  <c r="O10" i="2"/>
  <c r="M10" i="2"/>
  <c r="S10" i="2"/>
  <c r="Z10" i="2"/>
  <c r="V10" i="2"/>
  <c r="Y10" i="2"/>
  <c r="X10" i="2"/>
  <c r="W10" i="2"/>
  <c r="U10" i="2"/>
  <c r="Q10" i="2"/>
  <c r="N10" i="2"/>
  <c r="T10" i="2"/>
  <c r="R10" i="2"/>
  <c r="Z5" i="2"/>
  <c r="Y5" i="2"/>
  <c r="W5" i="2"/>
  <c r="V5" i="2"/>
  <c r="U5" i="2"/>
  <c r="T5" i="2"/>
  <c r="S5" i="2"/>
  <c r="R5" i="2"/>
  <c r="Q5" i="2"/>
  <c r="P5" i="2"/>
  <c r="O5" i="2"/>
  <c r="N5" i="2"/>
  <c r="M5" i="2"/>
  <c r="X5" i="2"/>
  <c r="E8" i="3" l="1"/>
  <c r="G6" i="3"/>
  <c r="F8" i="3"/>
  <c r="G5" i="3"/>
  <c r="G7" i="3"/>
  <c r="G8" i="3" l="1"/>
</calcChain>
</file>

<file path=xl/sharedStrings.xml><?xml version="1.0" encoding="utf-8"?>
<sst xmlns="http://schemas.openxmlformats.org/spreadsheetml/2006/main" count="425" uniqueCount="253">
  <si>
    <t>WBS – HỆ THỐNG QUẢN LÝ DỊCH VỤ HỖ TRỢ IT TẬN NƠI (IT ONSITE)</t>
  </si>
  <si>
    <t>Học phần: Đồ án thực tế công nghệ phần mềm – Mã HP 010412203902 – HK1 2026–2027</t>
  </si>
  <si>
    <t>THÀNH VIÊN NHÓM</t>
  </si>
  <si>
    <t>Mã</t>
  </si>
  <si>
    <t>Họ và tên</t>
  </si>
  <si>
    <t>MSSV</t>
  </si>
  <si>
    <t>Vai trò chính</t>
  </si>
  <si>
    <t>TV1</t>
  </si>
  <si>
    <t>Phạm Ngọc Trung</t>
  </si>
  <si>
    <t>080205000925</t>
  </si>
  <si>
    <t>Nhóm trưởng – Backend, AI, DevOps</t>
  </si>
  <si>
    <t>TV2</t>
  </si>
  <si>
    <t>Trần Quốc Anh Hoàng</t>
  </si>
  <si>
    <t>Frontend, UI/UX</t>
  </si>
  <si>
    <t>TV3</t>
  </si>
  <si>
    <t>Nguyễn Văn Thu</t>
  </si>
  <si>
    <t>Phân tích nghiệp vụ, kiểm thử, tài liệu</t>
  </si>
  <si>
    <t>Kết quả bàn giao</t>
  </si>
  <si>
    <t>T2</t>
  </si>
  <si>
    <t>BẢNG PHÂN RÃ CÔNG VIỆC (WBS) – IT ONSITE</t>
  </si>
  <si>
    <t>Từ ngày</t>
  </si>
  <si>
    <t>Đến ngày</t>
  </si>
  <si>
    <t>Mã WBS</t>
  </si>
  <si>
    <t>Hạng mục công việc</t>
  </si>
  <si>
    <t>Kết quả đầu ra</t>
  </si>
  <si>
    <t>Phụ trách</t>
  </si>
  <si>
    <t>Họ tên phụ trách</t>
  </si>
  <si>
    <t>Hỗ trợ</t>
  </si>
  <si>
    <t>Bắt đầu</t>
  </si>
  <si>
    <t>Kết thúc</t>
  </si>
  <si>
    <t>Số ngày</t>
  </si>
  <si>
    <t>Ước lượng (giờ)</t>
  </si>
  <si>
    <t>Phụ thuộc</t>
  </si>
  <si>
    <t>Trạng thái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</si>
  <si>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</si>
  <si>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</si>
  <si>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</si>
  <si>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</si>
  <si>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</si>
  <si>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</si>
  <si>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</si>
  <si>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</si>
  <si>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</si>
  <si>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</si>
  <si>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</si>
  <si>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</si>
  <si>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</si>
  <si>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1</t>
  </si>
  <si>
    <t>Quản lý dự án</t>
  </si>
  <si>
    <t>1.1</t>
  </si>
  <si>
    <t>Lập kế hoạch, WBS và phân công</t>
  </si>
  <si>
    <t>WBS &amp; kế hoạch (D3)</t>
  </si>
  <si>
    <t>TV2, TV3</t>
  </si>
  <si>
    <t>Đang thực hiện</t>
  </si>
  <si>
    <t>1.2</t>
  </si>
  <si>
    <t>Thiết lập workspace GitHub: repo, nhánh, board, CI khung</t>
  </si>
  <si>
    <t>Workspace Git (D4)</t>
  </si>
  <si>
    <t>1.3</t>
  </si>
  <si>
    <t>Chủ trì họp nhóm hằng tuần, báo cáo tiến độ với giảng viên</t>
  </si>
  <si>
    <t>Biên bản họp</t>
  </si>
  <si>
    <t>Chưa bắt đầu</t>
  </si>
  <si>
    <t>1.4</t>
  </si>
  <si>
    <t>Theo dõi rủi ro, điều chỉnh kế hoạch</t>
  </si>
  <si>
    <t>Bảng rủi ro</t>
  </si>
  <si>
    <t>2</t>
  </si>
  <si>
    <t>Khảo sát và phân tích yêu cầu</t>
  </si>
  <si>
    <t>2.1</t>
  </si>
  <si>
    <t>Phỏng vấn chủ dịch vụ, phân tích quy trình nghiệp vụ</t>
  </si>
  <si>
    <t>Ghi chép phỏng vấn</t>
  </si>
  <si>
    <t>Hoàn thành</t>
  </si>
  <si>
    <t>2.2</t>
  </si>
  <si>
    <t>Xác định actor, use case, quy tắc nghiệp vụ</t>
  </si>
  <si>
    <t>Danh sách UC, BR</t>
  </si>
  <si>
    <t>2.3</t>
  </si>
  <si>
    <t>Viết SRS sơ bộ v0.1, sơ đồ use case và trạng thái phiếu</t>
  </si>
  <si>
    <t>SRS v0.1 (D2)</t>
  </si>
  <si>
    <t>TV1, TV2</t>
  </si>
  <si>
    <t>2.4</t>
  </si>
  <si>
    <t>Khảo sát người dùng tiềm năng (15–20 người)</t>
  </si>
  <si>
    <t>Kết quả khảo sát</t>
  </si>
  <si>
    <t>2.5</t>
  </si>
  <si>
    <t>Đặc tả chi tiết toàn bộ use case</t>
  </si>
  <si>
    <t>Đặc tả UC01–UC23</t>
  </si>
  <si>
    <t>2.6</t>
  </si>
  <si>
    <t>Hoàn thiện SRS v1.0</t>
  </si>
  <si>
    <t>SRS v1.0 (D5)</t>
  </si>
  <si>
    <t>2.4, 2.5</t>
  </si>
  <si>
    <t>3</t>
  </si>
  <si>
    <t>Thiết kế hệ thống (SAD)</t>
  </si>
  <si>
    <t>3.1</t>
  </si>
  <si>
    <t>Kiến trúc tổng thể, lựa chọn công nghệ</t>
  </si>
  <si>
    <t>Sơ đồ kiến trúc</t>
  </si>
  <si>
    <t>3.2</t>
  </si>
  <si>
    <t>Thiết kế CSDL: ERD, lược đồ, migration đầu tiên</t>
  </si>
  <si>
    <t>Lược đồ CSDL (D7)</t>
  </si>
  <si>
    <t>3.3</t>
  </si>
  <si>
    <t>Sơ đồ UML: lớp, tuần tự, hoạt động</t>
  </si>
  <si>
    <t>Bộ sơ đồ UML</t>
  </si>
  <si>
    <t>3.4</t>
  </si>
  <si>
    <t>Thiết kế API (OpenAPI)</t>
  </si>
  <si>
    <t>Đặc tả API</t>
  </si>
  <si>
    <t>3.5</t>
  </si>
  <si>
    <t>Thiết kế UI/UX: wireframe, mockup Figma</t>
  </si>
  <si>
    <t>Wireframe, mockup</t>
  </si>
  <si>
    <t>3.6</t>
  </si>
  <si>
    <t>Thiết kế module AI: danh mục sự cố, prompt, bộ dữ liệu kiểm thử</t>
  </si>
  <si>
    <t>Thiết kế AI, bộ test</t>
  </si>
  <si>
    <t>3.7</t>
  </si>
  <si>
    <t>Hoàn thiện tài liệu SAD</t>
  </si>
  <si>
    <t>SAD (D6)</t>
  </si>
  <si>
    <t>3.1–3.6</t>
  </si>
  <si>
    <t>4</t>
  </si>
  <si>
    <t>Hiện thực phần mềm</t>
  </si>
  <si>
    <t>4.1</t>
  </si>
  <si>
    <t>Backend nền tảng: xác thực JWT, phân quyền RBAC, tài khoản (UC01, UC22)</t>
  </si>
  <si>
    <t>Module auth</t>
  </si>
  <si>
    <t>3.2, 3.4</t>
  </si>
  <si>
    <t>4.2</t>
  </si>
  <si>
    <t>Danh mục: dịch vụ, bảng giá, KTV, khu vực, cấu hình (UC18, UC19, UC23)</t>
  </si>
  <si>
    <t>Module danh mục</t>
  </si>
  <si>
    <t>4.3</t>
  </si>
  <si>
    <t>Phiếu yêu cầu và máy trạng thái (UC04, UC06, UC07)</t>
  </si>
  <si>
    <t>Module phiếu</t>
  </si>
  <si>
    <t>4.4</t>
  </si>
  <si>
    <t>Điều phối và phân công KTV, BR-04 đến BR-06 (UC08, UC09)</t>
  </si>
  <si>
    <t>Module điều phối</t>
  </si>
  <si>
    <t>4.5</t>
  </si>
  <si>
    <t>Báo giá và nghiệm thu (UC10, UC11, UC12, UC13)</t>
  </si>
  <si>
    <t>Module báo giá</t>
  </si>
  <si>
    <t>4.6</t>
  </si>
  <si>
    <t>Thanh toán tiền mặt, VietQR và đối soát (UC14)</t>
  </si>
  <si>
    <t>Module thanh toán</t>
  </si>
  <si>
    <t>4.7</t>
  </si>
  <si>
    <t>Tích hợp AI phân loại sự cố – Gemini API (UC05)</t>
  </si>
  <si>
    <t>Module AI</t>
  </si>
  <si>
    <t>3.6, 4.3</t>
  </si>
  <si>
    <t>4.8</t>
  </si>
  <si>
    <t>Thông báo Telegram và email có hàng đợi (UC17)</t>
  </si>
  <si>
    <t>Module thông báo</t>
  </si>
  <si>
    <t>4.9</t>
  </si>
  <si>
    <t>Bảo hành và đánh giá dịch vụ (UC15, UC16)</t>
  </si>
  <si>
    <t>Module hậu mãi</t>
  </si>
  <si>
    <t>4.10</t>
  </si>
  <si>
    <t>Giao diện khách hàng (UC02–UC07, UC11, UC13–UC16)</t>
  </si>
  <si>
    <t>Web khách hàng</t>
  </si>
  <si>
    <t>3.5, 4.1</t>
  </si>
  <si>
    <t>4.11</t>
  </si>
  <si>
    <t>Giao diện kỹ thuật viên trên điện thoại (UC09, UC10, UC12)</t>
  </si>
  <si>
    <t>Web KTV</t>
  </si>
  <si>
    <t>4.12</t>
  </si>
  <si>
    <t>Giao diện điều phối viên và quản trị viên</t>
  </si>
  <si>
    <t>Web ĐPV, QTV</t>
  </si>
  <si>
    <t>4.13</t>
  </si>
  <si>
    <t>Báo cáo thống kê (UC21)</t>
  </si>
  <si>
    <t>Màn hình báo cáo</t>
  </si>
  <si>
    <t>4.14</t>
  </si>
  <si>
    <t>Quản lý linh kiện – mức Could (UC20)</t>
  </si>
  <si>
    <t>Module linh kiện</t>
  </si>
  <si>
    <t>4.15</t>
  </si>
  <si>
    <t>Chuẩn bị bản demo và báo cáo giữa kỳ</t>
  </si>
  <si>
    <t>Demo giữa kỳ (D8)</t>
  </si>
  <si>
    <t>4.3, 4.4</t>
  </si>
  <si>
    <t>5</t>
  </si>
  <si>
    <t>Kiểm thử</t>
  </si>
  <si>
    <t>5.1</t>
  </si>
  <si>
    <t>Kế hoạch kiểm thử và bộ test case</t>
  </si>
  <si>
    <t>Test plan, test case</t>
  </si>
  <si>
    <t>5.2</t>
  </si>
  <si>
    <t>Unit test và integration test backend (≥ 60% tầng nghiệp vụ)</t>
  </si>
  <si>
    <t>Báo cáo coverage</t>
  </si>
  <si>
    <t>5.3</t>
  </si>
  <si>
    <t>Đánh giá độ chính xác AI trên ≥ 60 mô tả gán nhãn</t>
  </si>
  <si>
    <t>Báo cáo đánh giá AI</t>
  </si>
  <si>
    <t>5.4</t>
  </si>
  <si>
    <t>Kiểm thử hệ thống, kiểm thử tải và bảo mật</t>
  </si>
  <si>
    <t>Kết quả kiểm thử</t>
  </si>
  <si>
    <t>4.1–4.14</t>
  </si>
  <si>
    <t>5.5</t>
  </si>
  <si>
    <t>Kiểm thử chấp nhận với người dùng thật (UAT) và sửa lỗi</t>
  </si>
  <si>
    <t>Biên bản UAT</t>
  </si>
  <si>
    <t>6</t>
  </si>
  <si>
    <t>Triển khai và bàn giao</t>
  </si>
  <si>
    <t>6.1</t>
  </si>
  <si>
    <t>Docker, CI/CD, triển khai môi trường thử nghiệm</t>
  </si>
  <si>
    <t>Bản chạy thử</t>
  </si>
  <si>
    <t>6.2</t>
  </si>
  <si>
    <t>Triển khai bản chính thức, sao lưu CSDL</t>
  </si>
  <si>
    <t>Hệ thống trực tuyến (D9)</t>
  </si>
  <si>
    <t>6.3</t>
  </si>
  <si>
    <t>Hướng dẫn sử dụng theo vai trò</t>
  </si>
  <si>
    <t>HDSD (D11)</t>
  </si>
  <si>
    <t>6.4</t>
  </si>
  <si>
    <t>Báo cáo kiểm thử, cập nhật SRS và SAD bản cuối</t>
  </si>
  <si>
    <t>Báo cáo kiểm thử (D10)</t>
  </si>
  <si>
    <t>6.5</t>
  </si>
  <si>
    <t>Slide và kịch bản demo bảo vệ cuối kỳ</t>
  </si>
  <si>
    <t>Slide, demo (D12)</t>
  </si>
  <si>
    <t>TV1, TV3</t>
  </si>
  <si>
    <t>6.6</t>
  </si>
  <si>
    <t>Nộp toàn bộ kết quả cuối kỳ</t>
  </si>
  <si>
    <t>Bộ deliverables</t>
  </si>
  <si>
    <t>6.4, 6.5</t>
  </si>
  <si>
    <t>TỔNG CỘNG</t>
  </si>
  <si>
    <t>TỔNG HỢP PHÂN CÔNG THEO THÀNH VIÊN</t>
  </si>
  <si>
    <t>Số công việc phụ trách</t>
  </si>
  <si>
    <t>Tổng giờ ước lượng</t>
  </si>
  <si>
    <t>Tỷ lệ khối lượng</t>
  </si>
  <si>
    <t>Tổng</t>
  </si>
  <si>
    <t>KHỐI LƯỢNG THEO NHÓM CÔNG VIỆC (GIỜ)</t>
  </si>
  <si>
    <t>Nhóm công việc</t>
  </si>
  <si>
    <t>KẾT QUẢ BÀN GIAO (DELIVERABLES)</t>
  </si>
  <si>
    <t>Mô tả</t>
  </si>
  <si>
    <t>Hạn nộp</t>
  </si>
  <si>
    <t>Gói WBS</t>
  </si>
  <si>
    <t>D1</t>
  </si>
  <si>
    <t>Đề tài, phạm vi, deliverables</t>
  </si>
  <si>
    <t>D2</t>
  </si>
  <si>
    <t>Tài liệu đặc tả yêu cầu bản sơ bộ</t>
  </si>
  <si>
    <t>D3</t>
  </si>
  <si>
    <t>WBS và kế hoạch</t>
  </si>
  <si>
    <t>File WBS này</t>
  </si>
  <si>
    <t>D4</t>
  </si>
  <si>
    <t>Workspace Git</t>
  </si>
  <si>
    <t>Repo GitHub, quy ước nhánh, board công việc</t>
  </si>
  <si>
    <t>D5</t>
  </si>
  <si>
    <t>Bổ sung khảo sát, đặc tả đủ 23 use case</t>
  </si>
  <si>
    <t>D6</t>
  </si>
  <si>
    <t>Tài liệu phân tích thiết kế (SAD)</t>
  </si>
  <si>
    <t>Kiến trúc, UML, thiết kế API, wireframe</t>
  </si>
  <si>
    <t>D7</t>
  </si>
  <si>
    <t>Lược đồ CSDL</t>
  </si>
  <si>
    <t>ERD và script migration</t>
  </si>
  <si>
    <t>D8</t>
  </si>
  <si>
    <t>Bản demo giữa kỳ</t>
  </si>
  <si>
    <t>Tạo yêu cầu → phân công → báo giá → duyệt</t>
  </si>
  <si>
    <t>D9</t>
  </si>
  <si>
    <t>Mã nguồn và hệ thống trực tuyến</t>
  </si>
  <si>
    <t>Repo GitHub, bản triển khai chính thức</t>
  </si>
  <si>
    <t>6.2, 6.6</t>
  </si>
  <si>
    <t>D10</t>
  </si>
  <si>
    <t>Kế hoạch và báo cáo kiểm thử</t>
  </si>
  <si>
    <t>Test case, kết quả, coverage, đánh giá AI</t>
  </si>
  <si>
    <t>D11</t>
  </si>
  <si>
    <t>Hướng dẫn sử dụng</t>
  </si>
  <si>
    <t>Theo từng vai trò</t>
  </si>
  <si>
    <t>D12</t>
  </si>
  <si>
    <t>Slide và demo bảo vệ</t>
  </si>
  <si>
    <t>Trình bày và demo trực tiếp</t>
  </si>
  <si>
    <t xml:space="preserve">22H1120025 </t>
  </si>
  <si>
    <t xml:space="preserve">SRS sơ bộ </t>
  </si>
  <si>
    <t xml:space="preserve">SRS hoàn chỉnh </t>
  </si>
  <si>
    <t xml:space="preserve">Mục 1.2 và mục 7 của SRS </t>
  </si>
  <si>
    <t>079205045903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</si>
</sst>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%"/>
  </numFmts>
  <fonts count="9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i/>
      <sz val="8"/>
      <name val="Arial"/>
      <charset val="1"/>
    </font>
    <font>
      <sz val="8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1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2E75B6"/>
      </font>
      <fill>
        <patternFill>
          <bgColor rgb="FF2E75B6"/>
        </patternFill>
      </fill>
    </dxf>
    <dxf>
      <font>
        <color rgb="FF1F4E79"/>
      </font>
      <fill>
        <patternFill>
          <bgColor rgb="FF1F4E7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tabSelected="1" zoomScaleNormal="100" workbookViewId="0">
      <selection activeCell="D8" sqref="D8"/>
    </sheetView>
  </sheetViews>
  <sheetFormatPr defaultColWidth="8.6640625" defaultRowHeight="14.4" x14ac:dyDescent="0.3"/>
  <cols>
    <col min="1" max="1" width="3" customWidth="1"/>
    <col min="2" max="2" width="16" customWidth="1"/>
    <col min="3" max="3" width="30" customWidth="1"/>
    <col min="4" max="4" width="18" customWidth="1"/>
    <col min="5" max="5" width="42" customWidth="1"/>
  </cols>
  <sheetData>
    <row r="1" spans="1:5" x14ac:dyDescent="0.3">
      <c r="A1" s="2"/>
      <c r="B1" s="2"/>
      <c r="C1" s="2"/>
      <c r="D1" s="2"/>
      <c r="E1" s="2"/>
    </row>
    <row r="2" spans="1:5" ht="17.399999999999999" x14ac:dyDescent="0.3">
      <c r="A2" s="2"/>
      <c r="B2" s="3" t="s">
        <v>0</v>
      </c>
      <c r="C2" s="2"/>
      <c r="D2" s="2"/>
      <c r="E2" s="2"/>
    </row>
    <row r="3" spans="1:5" x14ac:dyDescent="0.3">
      <c r="A3" s="2"/>
      <c r="B3" s="4" t="s">
        <v>1</v>
      </c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5" t="s">
        <v>2</v>
      </c>
      <c r="C5" s="2"/>
      <c r="D5" s="2"/>
      <c r="E5" s="2"/>
    </row>
    <row r="6" spans="1:5" x14ac:dyDescent="0.3">
      <c r="A6" s="2"/>
      <c r="B6" s="1" t="s">
        <v>3</v>
      </c>
      <c r="C6" s="1" t="s">
        <v>4</v>
      </c>
      <c r="D6" s="1" t="s">
        <v>5</v>
      </c>
      <c r="E6" s="1" t="s">
        <v>6</v>
      </c>
    </row>
    <row r="7" spans="1:5" x14ac:dyDescent="0.3">
      <c r="A7" s="2"/>
      <c r="B7" s="1" t="s">
        <v>7</v>
      </c>
      <c r="C7" s="6" t="s">
        <v>8</v>
      </c>
      <c r="D7" s="7" t="s">
        <v>9</v>
      </c>
      <c r="E7" s="6" t="s">
        <v>10</v>
      </c>
    </row>
    <row r="8" spans="1:5" x14ac:dyDescent="0.3">
      <c r="A8" s="2"/>
      <c r="B8" s="1" t="s">
        <v>11</v>
      </c>
      <c r="C8" s="6" t="s">
        <v>12</v>
      </c>
      <c r="D8" s="22" t="s">
        <v>252</v>
      </c>
      <c r="E8" s="6" t="s">
        <v>13</v>
      </c>
    </row>
    <row r="9" spans="1:5" x14ac:dyDescent="0.3">
      <c r="A9" s="2"/>
      <c r="B9" s="1" t="s">
        <v>14</v>
      </c>
      <c r="C9" s="6" t="s">
        <v>15</v>
      </c>
      <c r="D9" s="7" t="s">
        <v>248</v>
      </c>
      <c r="E9" s="6" t="s">
        <v>16</v>
      </c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</row>
    <row r="12" spans="1:5" x14ac:dyDescent="0.3">
      <c r="A12" s="2"/>
    </row>
    <row r="13" spans="1:5" x14ac:dyDescent="0.3">
      <c r="A13" s="2"/>
    </row>
    <row r="14" spans="1:5" x14ac:dyDescent="0.3">
      <c r="A14" s="2"/>
    </row>
    <row r="15" spans="1:5" x14ac:dyDescent="0.3">
      <c r="A15" s="2"/>
    </row>
    <row r="16" spans="1:5" x14ac:dyDescent="0.3">
      <c r="A16" s="2"/>
    </row>
  </sheetData>
  <pageMargins left="0.4" right="0.4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4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K9" sqref="K9"/>
    </sheetView>
  </sheetViews>
  <sheetFormatPr defaultColWidth="8.6640625" defaultRowHeight="14.4" x14ac:dyDescent="0.3"/>
  <cols>
    <col min="1" max="1" width="9" customWidth="1"/>
    <col min="2" max="2" width="52.6640625" bestFit="1" customWidth="1"/>
    <col min="3" max="3" width="22.44140625" bestFit="1" customWidth="1"/>
    <col min="4" max="4" width="16.109375" bestFit="1" customWidth="1"/>
    <col min="5" max="5" width="22.33203125" bestFit="1" customWidth="1"/>
    <col min="6" max="6" width="13.109375" bestFit="1" customWidth="1"/>
    <col min="7" max="7" width="14.21875" hidden="1" customWidth="1"/>
    <col min="8" max="8" width="14.88671875" hidden="1" customWidth="1"/>
    <col min="9" max="9" width="14.5546875" hidden="1" customWidth="1"/>
    <col min="10" max="10" width="22.44140625" hidden="1" customWidth="1"/>
    <col min="11" max="11" width="16.44140625" bestFit="1" customWidth="1"/>
    <col min="12" max="12" width="16.44140625" hidden="1" customWidth="1"/>
    <col min="13" max="26" width="4.6640625" hidden="1" customWidth="1"/>
  </cols>
  <sheetData>
    <row r="1" spans="1:26" ht="17.399999999999999" x14ac:dyDescent="0.3">
      <c r="A1" s="3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9" t="s">
        <v>20</v>
      </c>
      <c r="M2" s="10">
        <v>46307</v>
      </c>
      <c r="N2" s="10">
        <v>46314</v>
      </c>
      <c r="O2" s="10">
        <v>46321</v>
      </c>
      <c r="P2" s="10">
        <v>46328</v>
      </c>
      <c r="Q2" s="10">
        <v>46335</v>
      </c>
      <c r="R2" s="10">
        <v>46342</v>
      </c>
      <c r="S2" s="10">
        <v>46349</v>
      </c>
      <c r="T2" s="10">
        <v>46356</v>
      </c>
      <c r="U2" s="10">
        <v>46363</v>
      </c>
      <c r="V2" s="10">
        <v>46370</v>
      </c>
      <c r="W2" s="10">
        <v>46377</v>
      </c>
      <c r="X2" s="10">
        <v>46384</v>
      </c>
      <c r="Y2" s="10">
        <v>46391</v>
      </c>
      <c r="Z2" s="10">
        <v>46398</v>
      </c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9" t="s">
        <v>21</v>
      </c>
      <c r="M3" s="10">
        <v>46313</v>
      </c>
      <c r="N3" s="10">
        <v>46320</v>
      </c>
      <c r="O3" s="10">
        <v>46327</v>
      </c>
      <c r="P3" s="10">
        <v>46334</v>
      </c>
      <c r="Q3" s="10">
        <v>46341</v>
      </c>
      <c r="R3" s="10">
        <v>46348</v>
      </c>
      <c r="S3" s="10">
        <v>46355</v>
      </c>
      <c r="T3" s="10">
        <v>46362</v>
      </c>
      <c r="U3" s="10">
        <v>46369</v>
      </c>
      <c r="V3" s="10">
        <v>46376</v>
      </c>
      <c r="W3" s="10">
        <v>46383</v>
      </c>
      <c r="X3" s="10">
        <v>46390</v>
      </c>
      <c r="Y3" s="10">
        <v>46397</v>
      </c>
      <c r="Z3" s="10">
        <v>46404</v>
      </c>
    </row>
    <row r="4" spans="1:26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18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</row>
    <row r="5" spans="1:26" x14ac:dyDescent="0.3">
      <c r="A5" s="11" t="s">
        <v>47</v>
      </c>
      <c r="B5" s="12" t="s">
        <v>48</v>
      </c>
      <c r="C5" s="12"/>
      <c r="D5" s="12"/>
      <c r="E5" s="12"/>
      <c r="F5" s="12"/>
      <c r="G5" s="13">
        <f>MIN(G6:G9)</f>
        <v>46308</v>
      </c>
      <c r="H5" s="13">
        <f>MAX(H6:H9)</f>
        <v>46404</v>
      </c>
      <c r="I5" s="14">
        <f t="shared" ref="I5:I36" si="0">H5-G5+1</f>
        <v>97</v>
      </c>
      <c r="J5" s="11">
        <f>SUM(J6:J9)</f>
        <v>23</v>
      </c>
      <c r="K5" s="12"/>
      <c r="L5" s="12"/>
      <c r="M5" s="15">
        <f t="shared" ref="M5:Z14" si="1">IF(AND($G5&lt;=M$3,$H5&gt;=M$2),1,"")</f>
        <v>1</v>
      </c>
      <c r="N5" s="15">
        <f t="shared" si="1"/>
        <v>1</v>
      </c>
      <c r="O5" s="15">
        <f t="shared" si="1"/>
        <v>1</v>
      </c>
      <c r="P5" s="15">
        <f t="shared" si="1"/>
        <v>1</v>
      </c>
      <c r="Q5" s="15">
        <f t="shared" si="1"/>
        <v>1</v>
      </c>
      <c r="R5" s="15">
        <f t="shared" si="1"/>
        <v>1</v>
      </c>
      <c r="S5" s="15">
        <f t="shared" si="1"/>
        <v>1</v>
      </c>
      <c r="T5" s="15">
        <f t="shared" si="1"/>
        <v>1</v>
      </c>
      <c r="U5" s="15">
        <f t="shared" si="1"/>
        <v>1</v>
      </c>
      <c r="V5" s="15">
        <f t="shared" si="1"/>
        <v>1</v>
      </c>
      <c r="W5" s="15">
        <f t="shared" si="1"/>
        <v>1</v>
      </c>
      <c r="X5" s="15">
        <f t="shared" si="1"/>
        <v>1</v>
      </c>
      <c r="Y5" s="15">
        <f t="shared" si="1"/>
        <v>1</v>
      </c>
      <c r="Z5" s="15">
        <f t="shared" si="1"/>
        <v>1</v>
      </c>
    </row>
    <row r="6" spans="1:26" x14ac:dyDescent="0.3">
      <c r="A6" s="16" t="s">
        <v>49</v>
      </c>
      <c r="B6" s="6" t="s">
        <v>50</v>
      </c>
      <c r="C6" s="6" t="s">
        <v>51</v>
      </c>
      <c r="D6" s="7" t="s">
        <v>7</v>
      </c>
      <c r="E6" s="6" t="str">
        <f>IFERROR(IF(INDEX('Thông tin'!$C$7:$C$9,MATCH(D6,'Thông tin'!$B$7:$B$9,0))="","",INDEX('Thông tin'!$C$7:$C$9,MATCH(D6,'Thông tin'!$B$7:$B$9,0))),"")</f>
        <v>Phạm Ngọc Trung</v>
      </c>
      <c r="F6" s="7" t="s">
        <v>52</v>
      </c>
      <c r="G6" s="8">
        <v>46308</v>
      </c>
      <c r="H6" s="8">
        <v>46312</v>
      </c>
      <c r="I6" s="17">
        <f t="shared" si="0"/>
        <v>5</v>
      </c>
      <c r="J6" s="7">
        <v>6</v>
      </c>
      <c r="K6" s="7"/>
      <c r="L6" s="6" t="s">
        <v>53</v>
      </c>
      <c r="M6" s="15">
        <f t="shared" si="1"/>
        <v>1</v>
      </c>
      <c r="N6" s="15" t="str">
        <f t="shared" si="1"/>
        <v/>
      </c>
      <c r="O6" s="15" t="str">
        <f t="shared" si="1"/>
        <v/>
      </c>
      <c r="P6" s="15" t="str">
        <f t="shared" si="1"/>
        <v/>
      </c>
      <c r="Q6" s="15" t="str">
        <f t="shared" si="1"/>
        <v/>
      </c>
      <c r="R6" s="15" t="str">
        <f t="shared" si="1"/>
        <v/>
      </c>
      <c r="S6" s="15" t="str">
        <f t="shared" si="1"/>
        <v/>
      </c>
      <c r="T6" s="15" t="str">
        <f t="shared" si="1"/>
        <v/>
      </c>
      <c r="U6" s="15" t="str">
        <f t="shared" si="1"/>
        <v/>
      </c>
      <c r="V6" s="15" t="str">
        <f t="shared" si="1"/>
        <v/>
      </c>
      <c r="W6" s="15" t="str">
        <f t="shared" si="1"/>
        <v/>
      </c>
      <c r="X6" s="15" t="str">
        <f t="shared" si="1"/>
        <v/>
      </c>
      <c r="Y6" s="15" t="str">
        <f t="shared" si="1"/>
        <v/>
      </c>
      <c r="Z6" s="15" t="str">
        <f t="shared" si="1"/>
        <v/>
      </c>
    </row>
    <row r="7" spans="1:26" x14ac:dyDescent="0.3">
      <c r="A7" s="16" t="s">
        <v>54</v>
      </c>
      <c r="B7" s="6" t="s">
        <v>55</v>
      </c>
      <c r="C7" s="6" t="s">
        <v>56</v>
      </c>
      <c r="D7" s="7" t="s">
        <v>7</v>
      </c>
      <c r="E7" s="6" t="str">
        <f>IFERROR(IF(INDEX('Thông tin'!$C$7:$C$9,MATCH(D7,'Thông tin'!$B$7:$B$9,0))="","",INDEX('Thông tin'!$C$7:$C$9,MATCH(D7,'Thông tin'!$B$7:$B$9,0))),"")</f>
        <v>Phạm Ngọc Trung</v>
      </c>
      <c r="F7" s="7"/>
      <c r="G7" s="8">
        <v>46309</v>
      </c>
      <c r="H7" s="8">
        <v>46312</v>
      </c>
      <c r="I7" s="17">
        <f t="shared" si="0"/>
        <v>4</v>
      </c>
      <c r="J7" s="7">
        <v>5</v>
      </c>
      <c r="K7" s="7"/>
      <c r="L7" s="6" t="s">
        <v>53</v>
      </c>
      <c r="M7" s="15">
        <f t="shared" si="1"/>
        <v>1</v>
      </c>
      <c r="N7" s="15" t="str">
        <f t="shared" si="1"/>
        <v/>
      </c>
      <c r="O7" s="15" t="str">
        <f t="shared" si="1"/>
        <v/>
      </c>
      <c r="P7" s="15" t="str">
        <f t="shared" si="1"/>
        <v/>
      </c>
      <c r="Q7" s="15" t="str">
        <f t="shared" si="1"/>
        <v/>
      </c>
      <c r="R7" s="15" t="str">
        <f t="shared" si="1"/>
        <v/>
      </c>
      <c r="S7" s="15" t="str">
        <f t="shared" si="1"/>
        <v/>
      </c>
      <c r="T7" s="15" t="str">
        <f t="shared" si="1"/>
        <v/>
      </c>
      <c r="U7" s="15" t="str">
        <f t="shared" si="1"/>
        <v/>
      </c>
      <c r="V7" s="15" t="str">
        <f t="shared" si="1"/>
        <v/>
      </c>
      <c r="W7" s="15" t="str">
        <f t="shared" si="1"/>
        <v/>
      </c>
      <c r="X7" s="15" t="str">
        <f t="shared" si="1"/>
        <v/>
      </c>
      <c r="Y7" s="15" t="str">
        <f t="shared" si="1"/>
        <v/>
      </c>
      <c r="Z7" s="15" t="str">
        <f t="shared" si="1"/>
        <v/>
      </c>
    </row>
    <row r="8" spans="1:26" x14ac:dyDescent="0.3">
      <c r="A8" s="16" t="s">
        <v>57</v>
      </c>
      <c r="B8" s="6" t="s">
        <v>58</v>
      </c>
      <c r="C8" s="6" t="s">
        <v>59</v>
      </c>
      <c r="D8" s="7" t="s">
        <v>7</v>
      </c>
      <c r="E8" s="6" t="str">
        <f>IFERROR(IF(INDEX('Thông tin'!$C$7:$C$9,MATCH(D8,'Thông tin'!$B$7:$B$9,0))="","",INDEX('Thông tin'!$C$7:$C$9,MATCH(D8,'Thông tin'!$B$7:$B$9,0))),"")</f>
        <v>Phạm Ngọc Trung</v>
      </c>
      <c r="F8" s="7" t="s">
        <v>52</v>
      </c>
      <c r="G8" s="8">
        <v>46314</v>
      </c>
      <c r="H8" s="8">
        <v>46404</v>
      </c>
      <c r="I8" s="17">
        <f t="shared" si="0"/>
        <v>91</v>
      </c>
      <c r="J8" s="7">
        <v>8</v>
      </c>
      <c r="K8" s="7"/>
      <c r="L8" s="6" t="s">
        <v>60</v>
      </c>
      <c r="M8" s="15" t="str">
        <f t="shared" si="1"/>
        <v/>
      </c>
      <c r="N8" s="15">
        <f t="shared" si="1"/>
        <v>1</v>
      </c>
      <c r="O8" s="15">
        <f t="shared" si="1"/>
        <v>1</v>
      </c>
      <c r="P8" s="15">
        <f t="shared" si="1"/>
        <v>1</v>
      </c>
      <c r="Q8" s="15">
        <f t="shared" si="1"/>
        <v>1</v>
      </c>
      <c r="R8" s="15">
        <f t="shared" si="1"/>
        <v>1</v>
      </c>
      <c r="S8" s="15">
        <f t="shared" si="1"/>
        <v>1</v>
      </c>
      <c r="T8" s="15">
        <f t="shared" si="1"/>
        <v>1</v>
      </c>
      <c r="U8" s="15">
        <f t="shared" si="1"/>
        <v>1</v>
      </c>
      <c r="V8" s="15">
        <f t="shared" si="1"/>
        <v>1</v>
      </c>
      <c r="W8" s="15">
        <f t="shared" si="1"/>
        <v>1</v>
      </c>
      <c r="X8" s="15">
        <f t="shared" si="1"/>
        <v>1</v>
      </c>
      <c r="Y8" s="15">
        <f t="shared" si="1"/>
        <v>1</v>
      </c>
      <c r="Z8" s="15">
        <f t="shared" si="1"/>
        <v>1</v>
      </c>
    </row>
    <row r="9" spans="1:26" x14ac:dyDescent="0.3">
      <c r="A9" s="16" t="s">
        <v>61</v>
      </c>
      <c r="B9" s="6" t="s">
        <v>62</v>
      </c>
      <c r="C9" s="6" t="s">
        <v>63</v>
      </c>
      <c r="D9" s="7" t="s">
        <v>7</v>
      </c>
      <c r="E9" s="6" t="str">
        <f>IFERROR(IF(INDEX('Thông tin'!$C$7:$C$9,MATCH(D9,'Thông tin'!$B$7:$B$9,0))="","",INDEX('Thông tin'!$C$7:$C$9,MATCH(D9,'Thông tin'!$B$7:$B$9,0))),"")</f>
        <v>Phạm Ngọc Trung</v>
      </c>
      <c r="F9" s="7"/>
      <c r="G9" s="8">
        <v>46314</v>
      </c>
      <c r="H9" s="8">
        <v>46397</v>
      </c>
      <c r="I9" s="17">
        <f t="shared" si="0"/>
        <v>84</v>
      </c>
      <c r="J9" s="7">
        <v>4</v>
      </c>
      <c r="K9" s="7"/>
      <c r="L9" s="6" t="s">
        <v>60</v>
      </c>
      <c r="M9" s="15" t="str">
        <f t="shared" si="1"/>
        <v/>
      </c>
      <c r="N9" s="15">
        <f t="shared" si="1"/>
        <v>1</v>
      </c>
      <c r="O9" s="15">
        <f t="shared" si="1"/>
        <v>1</v>
      </c>
      <c r="P9" s="15">
        <f t="shared" si="1"/>
        <v>1</v>
      </c>
      <c r="Q9" s="15">
        <f t="shared" si="1"/>
        <v>1</v>
      </c>
      <c r="R9" s="15">
        <f t="shared" si="1"/>
        <v>1</v>
      </c>
      <c r="S9" s="15">
        <f t="shared" si="1"/>
        <v>1</v>
      </c>
      <c r="T9" s="15">
        <f t="shared" si="1"/>
        <v>1</v>
      </c>
      <c r="U9" s="15">
        <f t="shared" si="1"/>
        <v>1</v>
      </c>
      <c r="V9" s="15">
        <f t="shared" si="1"/>
        <v>1</v>
      </c>
      <c r="W9" s="15">
        <f t="shared" si="1"/>
        <v>1</v>
      </c>
      <c r="X9" s="15">
        <f t="shared" si="1"/>
        <v>1</v>
      </c>
      <c r="Y9" s="15">
        <f t="shared" si="1"/>
        <v>1</v>
      </c>
      <c r="Z9" s="15" t="str">
        <f t="shared" si="1"/>
        <v/>
      </c>
    </row>
    <row r="10" spans="1:26" x14ac:dyDescent="0.3">
      <c r="A10" s="11" t="s">
        <v>64</v>
      </c>
      <c r="B10" s="12" t="s">
        <v>65</v>
      </c>
      <c r="C10" s="12"/>
      <c r="D10" s="12"/>
      <c r="E10" s="12"/>
      <c r="F10" s="12"/>
      <c r="G10" s="13">
        <f>MIN(G11:G16)</f>
        <v>46307</v>
      </c>
      <c r="H10" s="13">
        <f>MAX(H11:H16)</f>
        <v>46334</v>
      </c>
      <c r="I10" s="14">
        <f t="shared" si="0"/>
        <v>28</v>
      </c>
      <c r="J10" s="11">
        <f>SUM(J11:J16)</f>
        <v>46</v>
      </c>
      <c r="K10" s="12"/>
      <c r="L10" s="12"/>
      <c r="M10" s="15">
        <f t="shared" si="1"/>
        <v>1</v>
      </c>
      <c r="N10" s="15">
        <f t="shared" si="1"/>
        <v>1</v>
      </c>
      <c r="O10" s="15">
        <f t="shared" si="1"/>
        <v>1</v>
      </c>
      <c r="P10" s="15">
        <f t="shared" si="1"/>
        <v>1</v>
      </c>
      <c r="Q10" s="15" t="str">
        <f t="shared" si="1"/>
        <v/>
      </c>
      <c r="R10" s="15" t="str">
        <f t="shared" si="1"/>
        <v/>
      </c>
      <c r="S10" s="15" t="str">
        <f t="shared" si="1"/>
        <v/>
      </c>
      <c r="T10" s="15" t="str">
        <f t="shared" si="1"/>
        <v/>
      </c>
      <c r="U10" s="15" t="str">
        <f t="shared" si="1"/>
        <v/>
      </c>
      <c r="V10" s="15" t="str">
        <f t="shared" si="1"/>
        <v/>
      </c>
      <c r="W10" s="15" t="str">
        <f t="shared" si="1"/>
        <v/>
      </c>
      <c r="X10" s="15" t="str">
        <f t="shared" si="1"/>
        <v/>
      </c>
      <c r="Y10" s="15" t="str">
        <f t="shared" si="1"/>
        <v/>
      </c>
      <c r="Z10" s="15" t="str">
        <f t="shared" si="1"/>
        <v/>
      </c>
    </row>
    <row r="11" spans="1:26" x14ac:dyDescent="0.3">
      <c r="A11" s="16" t="s">
        <v>66</v>
      </c>
      <c r="B11" s="6" t="s">
        <v>67</v>
      </c>
      <c r="C11" s="6" t="s">
        <v>68</v>
      </c>
      <c r="D11" s="7" t="s">
        <v>14</v>
      </c>
      <c r="E11" s="6" t="str">
        <f>IFERROR(IF(INDEX('Thông tin'!$C$7:$C$9,MATCH(D11,'Thông tin'!$B$7:$B$9,0))="","",INDEX('Thông tin'!$C$7:$C$9,MATCH(D11,'Thông tin'!$B$7:$B$9,0))),"")</f>
        <v>Nguyễn Văn Thu</v>
      </c>
      <c r="F11" s="7" t="s">
        <v>7</v>
      </c>
      <c r="G11" s="8">
        <v>46307</v>
      </c>
      <c r="H11" s="8">
        <v>46310</v>
      </c>
      <c r="I11" s="17">
        <f t="shared" si="0"/>
        <v>4</v>
      </c>
      <c r="J11" s="7">
        <v>4</v>
      </c>
      <c r="K11" s="7"/>
      <c r="L11" s="6" t="s">
        <v>69</v>
      </c>
      <c r="M11" s="15">
        <f t="shared" si="1"/>
        <v>1</v>
      </c>
      <c r="N11" s="15" t="str">
        <f t="shared" si="1"/>
        <v/>
      </c>
      <c r="O11" s="15" t="str">
        <f t="shared" si="1"/>
        <v/>
      </c>
      <c r="P11" s="15" t="str">
        <f t="shared" si="1"/>
        <v/>
      </c>
      <c r="Q11" s="15" t="str">
        <f t="shared" si="1"/>
        <v/>
      </c>
      <c r="R11" s="15" t="str">
        <f t="shared" si="1"/>
        <v/>
      </c>
      <c r="S11" s="15" t="str">
        <f t="shared" si="1"/>
        <v/>
      </c>
      <c r="T11" s="15" t="str">
        <f t="shared" si="1"/>
        <v/>
      </c>
      <c r="U11" s="15" t="str">
        <f t="shared" si="1"/>
        <v/>
      </c>
      <c r="V11" s="15" t="str">
        <f t="shared" si="1"/>
        <v/>
      </c>
      <c r="W11" s="15" t="str">
        <f t="shared" si="1"/>
        <v/>
      </c>
      <c r="X11" s="15" t="str">
        <f t="shared" si="1"/>
        <v/>
      </c>
      <c r="Y11" s="15" t="str">
        <f t="shared" si="1"/>
        <v/>
      </c>
      <c r="Z11" s="15" t="str">
        <f t="shared" si="1"/>
        <v/>
      </c>
    </row>
    <row r="12" spans="1:26" x14ac:dyDescent="0.3">
      <c r="A12" s="16" t="s">
        <v>70</v>
      </c>
      <c r="B12" s="6" t="s">
        <v>71</v>
      </c>
      <c r="C12" s="6" t="s">
        <v>72</v>
      </c>
      <c r="D12" s="7" t="s">
        <v>14</v>
      </c>
      <c r="E12" s="6" t="str">
        <f>IFERROR(IF(INDEX('Thông tin'!$C$7:$C$9,MATCH(D12,'Thông tin'!$B$7:$B$9,0))="","",INDEX('Thông tin'!$C$7:$C$9,MATCH(D12,'Thông tin'!$B$7:$B$9,0))),"")</f>
        <v>Nguyễn Văn Thu</v>
      </c>
      <c r="F12" s="7" t="s">
        <v>7</v>
      </c>
      <c r="G12" s="8">
        <v>46308</v>
      </c>
      <c r="H12" s="8">
        <v>46311</v>
      </c>
      <c r="I12" s="17">
        <f t="shared" si="0"/>
        <v>4</v>
      </c>
      <c r="J12" s="7">
        <v>6</v>
      </c>
      <c r="K12" s="7" t="s">
        <v>66</v>
      </c>
      <c r="L12" s="6" t="s">
        <v>53</v>
      </c>
      <c r="M12" s="15">
        <f t="shared" si="1"/>
        <v>1</v>
      </c>
      <c r="N12" s="15" t="str">
        <f t="shared" si="1"/>
        <v/>
      </c>
      <c r="O12" s="15" t="str">
        <f t="shared" si="1"/>
        <v/>
      </c>
      <c r="P12" s="15" t="str">
        <f t="shared" si="1"/>
        <v/>
      </c>
      <c r="Q12" s="15" t="str">
        <f t="shared" si="1"/>
        <v/>
      </c>
      <c r="R12" s="15" t="str">
        <f t="shared" si="1"/>
        <v/>
      </c>
      <c r="S12" s="15" t="str">
        <f t="shared" si="1"/>
        <v/>
      </c>
      <c r="T12" s="15" t="str">
        <f t="shared" si="1"/>
        <v/>
      </c>
      <c r="U12" s="15" t="str">
        <f t="shared" si="1"/>
        <v/>
      </c>
      <c r="V12" s="15" t="str">
        <f t="shared" si="1"/>
        <v/>
      </c>
      <c r="W12" s="15" t="str">
        <f t="shared" si="1"/>
        <v/>
      </c>
      <c r="X12" s="15" t="str">
        <f t="shared" si="1"/>
        <v/>
      </c>
      <c r="Y12" s="15" t="str">
        <f t="shared" si="1"/>
        <v/>
      </c>
      <c r="Z12" s="15" t="str">
        <f t="shared" si="1"/>
        <v/>
      </c>
    </row>
    <row r="13" spans="1:26" x14ac:dyDescent="0.3">
      <c r="A13" s="16" t="s">
        <v>73</v>
      </c>
      <c r="B13" s="6" t="s">
        <v>74</v>
      </c>
      <c r="C13" s="6" t="s">
        <v>75</v>
      </c>
      <c r="D13" s="7" t="s">
        <v>14</v>
      </c>
      <c r="E13" s="6" t="str">
        <f>IFERROR(IF(INDEX('Thông tin'!$C$7:$C$9,MATCH(D13,'Thông tin'!$B$7:$B$9,0))="","",INDEX('Thông tin'!$C$7:$C$9,MATCH(D13,'Thông tin'!$B$7:$B$9,0))),"")</f>
        <v>Nguyễn Văn Thu</v>
      </c>
      <c r="F13" s="7" t="s">
        <v>76</v>
      </c>
      <c r="G13" s="8">
        <v>46309</v>
      </c>
      <c r="H13" s="8">
        <v>46312</v>
      </c>
      <c r="I13" s="17">
        <f t="shared" si="0"/>
        <v>4</v>
      </c>
      <c r="J13" s="7">
        <v>10</v>
      </c>
      <c r="K13" s="7" t="s">
        <v>70</v>
      </c>
      <c r="L13" s="6" t="s">
        <v>53</v>
      </c>
      <c r="M13" s="15">
        <f t="shared" si="1"/>
        <v>1</v>
      </c>
      <c r="N13" s="15" t="str">
        <f t="shared" si="1"/>
        <v/>
      </c>
      <c r="O13" s="15" t="str">
        <f t="shared" si="1"/>
        <v/>
      </c>
      <c r="P13" s="15" t="str">
        <f t="shared" si="1"/>
        <v/>
      </c>
      <c r="Q13" s="15" t="str">
        <f t="shared" si="1"/>
        <v/>
      </c>
      <c r="R13" s="15" t="str">
        <f t="shared" si="1"/>
        <v/>
      </c>
      <c r="S13" s="15" t="str">
        <f t="shared" si="1"/>
        <v/>
      </c>
      <c r="T13" s="15" t="str">
        <f t="shared" si="1"/>
        <v/>
      </c>
      <c r="U13" s="15" t="str">
        <f t="shared" si="1"/>
        <v/>
      </c>
      <c r="V13" s="15" t="str">
        <f t="shared" si="1"/>
        <v/>
      </c>
      <c r="W13" s="15" t="str">
        <f t="shared" si="1"/>
        <v/>
      </c>
      <c r="X13" s="15" t="str">
        <f t="shared" si="1"/>
        <v/>
      </c>
      <c r="Y13" s="15" t="str">
        <f t="shared" si="1"/>
        <v/>
      </c>
      <c r="Z13" s="15" t="str">
        <f t="shared" si="1"/>
        <v/>
      </c>
    </row>
    <row r="14" spans="1:26" x14ac:dyDescent="0.3">
      <c r="A14" s="16" t="s">
        <v>77</v>
      </c>
      <c r="B14" s="6" t="s">
        <v>78</v>
      </c>
      <c r="C14" s="6" t="s">
        <v>79</v>
      </c>
      <c r="D14" s="7" t="s">
        <v>14</v>
      </c>
      <c r="E14" s="6" t="str">
        <f>IFERROR(IF(INDEX('Thông tin'!$C$7:$C$9,MATCH(D14,'Thông tin'!$B$7:$B$9,0))="","",INDEX('Thông tin'!$C$7:$C$9,MATCH(D14,'Thông tin'!$B$7:$B$9,0))),"")</f>
        <v>Nguyễn Văn Thu</v>
      </c>
      <c r="F14" s="7" t="s">
        <v>11</v>
      </c>
      <c r="G14" s="8">
        <v>46314</v>
      </c>
      <c r="H14" s="8">
        <v>46320</v>
      </c>
      <c r="I14" s="17">
        <f t="shared" si="0"/>
        <v>7</v>
      </c>
      <c r="J14" s="7">
        <v>6</v>
      </c>
      <c r="K14" s="7" t="s">
        <v>73</v>
      </c>
      <c r="L14" s="6" t="s">
        <v>60</v>
      </c>
      <c r="M14" s="15" t="str">
        <f t="shared" si="1"/>
        <v/>
      </c>
      <c r="N14" s="15">
        <f t="shared" si="1"/>
        <v>1</v>
      </c>
      <c r="O14" s="15" t="str">
        <f t="shared" si="1"/>
        <v/>
      </c>
      <c r="P14" s="15" t="str">
        <f t="shared" si="1"/>
        <v/>
      </c>
      <c r="Q14" s="15" t="str">
        <f t="shared" si="1"/>
        <v/>
      </c>
      <c r="R14" s="15" t="str">
        <f t="shared" si="1"/>
        <v/>
      </c>
      <c r="S14" s="15" t="str">
        <f t="shared" si="1"/>
        <v/>
      </c>
      <c r="T14" s="15" t="str">
        <f t="shared" si="1"/>
        <v/>
      </c>
      <c r="U14" s="15" t="str">
        <f t="shared" si="1"/>
        <v/>
      </c>
      <c r="V14" s="15" t="str">
        <f t="shared" si="1"/>
        <v/>
      </c>
      <c r="W14" s="15" t="str">
        <f t="shared" si="1"/>
        <v/>
      </c>
      <c r="X14" s="15" t="str">
        <f t="shared" si="1"/>
        <v/>
      </c>
      <c r="Y14" s="15" t="str">
        <f t="shared" si="1"/>
        <v/>
      </c>
      <c r="Z14" s="15" t="str">
        <f t="shared" si="1"/>
        <v/>
      </c>
    </row>
    <row r="15" spans="1:26" x14ac:dyDescent="0.3">
      <c r="A15" s="16" t="s">
        <v>80</v>
      </c>
      <c r="B15" s="6" t="s">
        <v>81</v>
      </c>
      <c r="C15" s="6" t="s">
        <v>82</v>
      </c>
      <c r="D15" s="7" t="s">
        <v>14</v>
      </c>
      <c r="E15" s="6" t="str">
        <f>IFERROR(IF(INDEX('Thông tin'!$C$7:$C$9,MATCH(D15,'Thông tin'!$B$7:$B$9,0))="","",INDEX('Thông tin'!$C$7:$C$9,MATCH(D15,'Thông tin'!$B$7:$B$9,0))),"")</f>
        <v>Nguyễn Văn Thu</v>
      </c>
      <c r="F15" s="7" t="s">
        <v>7</v>
      </c>
      <c r="G15" s="8">
        <v>46314</v>
      </c>
      <c r="H15" s="8">
        <v>46327</v>
      </c>
      <c r="I15" s="17">
        <f t="shared" si="0"/>
        <v>14</v>
      </c>
      <c r="J15" s="7">
        <v>14</v>
      </c>
      <c r="K15" s="7" t="s">
        <v>73</v>
      </c>
      <c r="L15" s="6" t="s">
        <v>60</v>
      </c>
      <c r="M15" s="15" t="str">
        <f t="shared" ref="M15:Z24" si="2">IF(AND($G15&lt;=M$3,$H15&gt;=M$2),1,"")</f>
        <v/>
      </c>
      <c r="N15" s="15">
        <f t="shared" si="2"/>
        <v>1</v>
      </c>
      <c r="O15" s="15">
        <f t="shared" si="2"/>
        <v>1</v>
      </c>
      <c r="P15" s="15" t="str">
        <f t="shared" si="2"/>
        <v/>
      </c>
      <c r="Q15" s="15" t="str">
        <f t="shared" si="2"/>
        <v/>
      </c>
      <c r="R15" s="15" t="str">
        <f t="shared" si="2"/>
        <v/>
      </c>
      <c r="S15" s="15" t="str">
        <f t="shared" si="2"/>
        <v/>
      </c>
      <c r="T15" s="15" t="str">
        <f t="shared" si="2"/>
        <v/>
      </c>
      <c r="U15" s="15" t="str">
        <f t="shared" si="2"/>
        <v/>
      </c>
      <c r="V15" s="15" t="str">
        <f t="shared" si="2"/>
        <v/>
      </c>
      <c r="W15" s="15" t="str">
        <f t="shared" si="2"/>
        <v/>
      </c>
      <c r="X15" s="15" t="str">
        <f t="shared" si="2"/>
        <v/>
      </c>
      <c r="Y15" s="15" t="str">
        <f t="shared" si="2"/>
        <v/>
      </c>
      <c r="Z15" s="15" t="str">
        <f t="shared" si="2"/>
        <v/>
      </c>
    </row>
    <row r="16" spans="1:26" x14ac:dyDescent="0.3">
      <c r="A16" s="16" t="s">
        <v>83</v>
      </c>
      <c r="B16" s="6" t="s">
        <v>84</v>
      </c>
      <c r="C16" s="6" t="s">
        <v>85</v>
      </c>
      <c r="D16" s="7" t="s">
        <v>14</v>
      </c>
      <c r="E16" s="6" t="str">
        <f>IFERROR(IF(INDEX('Thông tin'!$C$7:$C$9,MATCH(D16,'Thông tin'!$B$7:$B$9,0))="","",INDEX('Thông tin'!$C$7:$C$9,MATCH(D16,'Thông tin'!$B$7:$B$9,0))),"")</f>
        <v>Nguyễn Văn Thu</v>
      </c>
      <c r="F16" s="7"/>
      <c r="G16" s="8">
        <v>46328</v>
      </c>
      <c r="H16" s="8">
        <v>46334</v>
      </c>
      <c r="I16" s="17">
        <f t="shared" si="0"/>
        <v>7</v>
      </c>
      <c r="J16" s="7">
        <v>6</v>
      </c>
      <c r="K16" s="7" t="s">
        <v>86</v>
      </c>
      <c r="L16" s="6" t="s">
        <v>60</v>
      </c>
      <c r="M16" s="15" t="str">
        <f t="shared" si="2"/>
        <v/>
      </c>
      <c r="N16" s="15" t="str">
        <f t="shared" si="2"/>
        <v/>
      </c>
      <c r="O16" s="15" t="str">
        <f t="shared" si="2"/>
        <v/>
      </c>
      <c r="P16" s="15">
        <f t="shared" si="2"/>
        <v>1</v>
      </c>
      <c r="Q16" s="15" t="str">
        <f t="shared" si="2"/>
        <v/>
      </c>
      <c r="R16" s="15" t="str">
        <f t="shared" si="2"/>
        <v/>
      </c>
      <c r="S16" s="15" t="str">
        <f t="shared" si="2"/>
        <v/>
      </c>
      <c r="T16" s="15" t="str">
        <f t="shared" si="2"/>
        <v/>
      </c>
      <c r="U16" s="15" t="str">
        <f t="shared" si="2"/>
        <v/>
      </c>
      <c r="V16" s="15" t="str">
        <f t="shared" si="2"/>
        <v/>
      </c>
      <c r="W16" s="15" t="str">
        <f t="shared" si="2"/>
        <v/>
      </c>
      <c r="X16" s="15" t="str">
        <f t="shared" si="2"/>
        <v/>
      </c>
      <c r="Y16" s="15" t="str">
        <f t="shared" si="2"/>
        <v/>
      </c>
      <c r="Z16" s="15" t="str">
        <f t="shared" si="2"/>
        <v/>
      </c>
    </row>
    <row r="17" spans="1:26" x14ac:dyDescent="0.3">
      <c r="A17" s="11" t="s">
        <v>87</v>
      </c>
      <c r="B17" s="12" t="s">
        <v>88</v>
      </c>
      <c r="C17" s="12"/>
      <c r="D17" s="12"/>
      <c r="E17" s="12"/>
      <c r="F17" s="12"/>
      <c r="G17" s="13">
        <f>MIN(G18:G24)</f>
        <v>46314</v>
      </c>
      <c r="H17" s="13">
        <f>MAX(H18:H24)</f>
        <v>46348</v>
      </c>
      <c r="I17" s="14">
        <f t="shared" si="0"/>
        <v>35</v>
      </c>
      <c r="J17" s="11">
        <f>SUM(J18:J24)</f>
        <v>66</v>
      </c>
      <c r="K17" s="12"/>
      <c r="L17" s="12"/>
      <c r="M17" s="15" t="str">
        <f t="shared" si="2"/>
        <v/>
      </c>
      <c r="N17" s="15">
        <f t="shared" si="2"/>
        <v>1</v>
      </c>
      <c r="O17" s="15">
        <f t="shared" si="2"/>
        <v>1</v>
      </c>
      <c r="P17" s="15">
        <f t="shared" si="2"/>
        <v>1</v>
      </c>
      <c r="Q17" s="15">
        <f t="shared" si="2"/>
        <v>1</v>
      </c>
      <c r="R17" s="15">
        <f t="shared" si="2"/>
        <v>1</v>
      </c>
      <c r="S17" s="15" t="str">
        <f t="shared" si="2"/>
        <v/>
      </c>
      <c r="T17" s="15" t="str">
        <f t="shared" si="2"/>
        <v/>
      </c>
      <c r="U17" s="15" t="str">
        <f t="shared" si="2"/>
        <v/>
      </c>
      <c r="V17" s="15" t="str">
        <f t="shared" si="2"/>
        <v/>
      </c>
      <c r="W17" s="15" t="str">
        <f t="shared" si="2"/>
        <v/>
      </c>
      <c r="X17" s="15" t="str">
        <f t="shared" si="2"/>
        <v/>
      </c>
      <c r="Y17" s="15" t="str">
        <f t="shared" si="2"/>
        <v/>
      </c>
      <c r="Z17" s="15" t="str">
        <f t="shared" si="2"/>
        <v/>
      </c>
    </row>
    <row r="18" spans="1:26" x14ac:dyDescent="0.3">
      <c r="A18" s="16" t="s">
        <v>89</v>
      </c>
      <c r="B18" s="6" t="s">
        <v>90</v>
      </c>
      <c r="C18" s="6" t="s">
        <v>91</v>
      </c>
      <c r="D18" s="7" t="s">
        <v>7</v>
      </c>
      <c r="E18" s="6" t="str">
        <f>IFERROR(IF(INDEX('Thông tin'!$C$7:$C$9,MATCH(D18,'Thông tin'!$B$7:$B$9,0))="","",INDEX('Thông tin'!$C$7:$C$9,MATCH(D18,'Thông tin'!$B$7:$B$9,0))),"")</f>
        <v>Phạm Ngọc Trung</v>
      </c>
      <c r="F18" s="7"/>
      <c r="G18" s="8">
        <v>46314</v>
      </c>
      <c r="H18" s="8">
        <v>46320</v>
      </c>
      <c r="I18" s="17">
        <f t="shared" si="0"/>
        <v>7</v>
      </c>
      <c r="J18" s="7">
        <v>6</v>
      </c>
      <c r="K18" s="7" t="s">
        <v>73</v>
      </c>
      <c r="L18" s="6" t="s">
        <v>60</v>
      </c>
      <c r="M18" s="15" t="str">
        <f t="shared" si="2"/>
        <v/>
      </c>
      <c r="N18" s="15">
        <f t="shared" si="2"/>
        <v>1</v>
      </c>
      <c r="O18" s="15" t="str">
        <f t="shared" si="2"/>
        <v/>
      </c>
      <c r="P18" s="15" t="str">
        <f t="shared" si="2"/>
        <v/>
      </c>
      <c r="Q18" s="15" t="str">
        <f t="shared" si="2"/>
        <v/>
      </c>
      <c r="R18" s="15" t="str">
        <f t="shared" si="2"/>
        <v/>
      </c>
      <c r="S18" s="15" t="str">
        <f t="shared" si="2"/>
        <v/>
      </c>
      <c r="T18" s="15" t="str">
        <f t="shared" si="2"/>
        <v/>
      </c>
      <c r="U18" s="15" t="str">
        <f t="shared" si="2"/>
        <v/>
      </c>
      <c r="V18" s="15" t="str">
        <f t="shared" si="2"/>
        <v/>
      </c>
      <c r="W18" s="15" t="str">
        <f t="shared" si="2"/>
        <v/>
      </c>
      <c r="X18" s="15" t="str">
        <f t="shared" si="2"/>
        <v/>
      </c>
      <c r="Y18" s="15" t="str">
        <f t="shared" si="2"/>
        <v/>
      </c>
      <c r="Z18" s="15" t="str">
        <f t="shared" si="2"/>
        <v/>
      </c>
    </row>
    <row r="19" spans="1:26" x14ac:dyDescent="0.3">
      <c r="A19" s="16" t="s">
        <v>92</v>
      </c>
      <c r="B19" s="6" t="s">
        <v>93</v>
      </c>
      <c r="C19" s="6" t="s">
        <v>94</v>
      </c>
      <c r="D19" s="7" t="s">
        <v>7</v>
      </c>
      <c r="E19" s="6" t="str">
        <f>IFERROR(IF(INDEX('Thông tin'!$C$7:$C$9,MATCH(D19,'Thông tin'!$B$7:$B$9,0))="","",INDEX('Thông tin'!$C$7:$C$9,MATCH(D19,'Thông tin'!$B$7:$B$9,0))),"")</f>
        <v>Phạm Ngọc Trung</v>
      </c>
      <c r="F19" s="7" t="s">
        <v>14</v>
      </c>
      <c r="G19" s="8">
        <v>46314</v>
      </c>
      <c r="H19" s="8">
        <v>46327</v>
      </c>
      <c r="I19" s="17">
        <f t="shared" si="0"/>
        <v>14</v>
      </c>
      <c r="J19" s="7">
        <v>10</v>
      </c>
      <c r="K19" s="7" t="s">
        <v>73</v>
      </c>
      <c r="L19" s="6" t="s">
        <v>60</v>
      </c>
      <c r="M19" s="15" t="str">
        <f t="shared" si="2"/>
        <v/>
      </c>
      <c r="N19" s="15">
        <f t="shared" si="2"/>
        <v>1</v>
      </c>
      <c r="O19" s="15">
        <f t="shared" si="2"/>
        <v>1</v>
      </c>
      <c r="P19" s="15" t="str">
        <f t="shared" si="2"/>
        <v/>
      </c>
      <c r="Q19" s="15" t="str">
        <f t="shared" si="2"/>
        <v/>
      </c>
      <c r="R19" s="15" t="str">
        <f t="shared" si="2"/>
        <v/>
      </c>
      <c r="S19" s="15" t="str">
        <f t="shared" si="2"/>
        <v/>
      </c>
      <c r="T19" s="15" t="str">
        <f t="shared" si="2"/>
        <v/>
      </c>
      <c r="U19" s="15" t="str">
        <f t="shared" si="2"/>
        <v/>
      </c>
      <c r="V19" s="15" t="str">
        <f t="shared" si="2"/>
        <v/>
      </c>
      <c r="W19" s="15" t="str">
        <f t="shared" si="2"/>
        <v/>
      </c>
      <c r="X19" s="15" t="str">
        <f t="shared" si="2"/>
        <v/>
      </c>
      <c r="Y19" s="15" t="str">
        <f t="shared" si="2"/>
        <v/>
      </c>
      <c r="Z19" s="15" t="str">
        <f t="shared" si="2"/>
        <v/>
      </c>
    </row>
    <row r="20" spans="1:26" x14ac:dyDescent="0.3">
      <c r="A20" s="16" t="s">
        <v>95</v>
      </c>
      <c r="B20" s="6" t="s">
        <v>96</v>
      </c>
      <c r="C20" s="6" t="s">
        <v>97</v>
      </c>
      <c r="D20" s="7" t="s">
        <v>14</v>
      </c>
      <c r="E20" s="6" t="str">
        <f>IFERROR(IF(INDEX('Thông tin'!$C$7:$C$9,MATCH(D20,'Thông tin'!$B$7:$B$9,0))="","",INDEX('Thông tin'!$C$7:$C$9,MATCH(D20,'Thông tin'!$B$7:$B$9,0))),"")</f>
        <v>Nguyễn Văn Thu</v>
      </c>
      <c r="F20" s="7" t="s">
        <v>7</v>
      </c>
      <c r="G20" s="8">
        <v>46321</v>
      </c>
      <c r="H20" s="8">
        <v>46334</v>
      </c>
      <c r="I20" s="17">
        <f t="shared" si="0"/>
        <v>14</v>
      </c>
      <c r="J20" s="7">
        <v>12</v>
      </c>
      <c r="K20" s="7" t="s">
        <v>80</v>
      </c>
      <c r="L20" s="6" t="s">
        <v>60</v>
      </c>
      <c r="M20" s="15" t="str">
        <f t="shared" si="2"/>
        <v/>
      </c>
      <c r="N20" s="15" t="str">
        <f t="shared" si="2"/>
        <v/>
      </c>
      <c r="O20" s="15">
        <f t="shared" si="2"/>
        <v>1</v>
      </c>
      <c r="P20" s="15">
        <f t="shared" si="2"/>
        <v>1</v>
      </c>
      <c r="Q20" s="15" t="str">
        <f t="shared" si="2"/>
        <v/>
      </c>
      <c r="R20" s="15" t="str">
        <f t="shared" si="2"/>
        <v/>
      </c>
      <c r="S20" s="15" t="str">
        <f t="shared" si="2"/>
        <v/>
      </c>
      <c r="T20" s="15" t="str">
        <f t="shared" si="2"/>
        <v/>
      </c>
      <c r="U20" s="15" t="str">
        <f t="shared" si="2"/>
        <v/>
      </c>
      <c r="V20" s="15" t="str">
        <f t="shared" si="2"/>
        <v/>
      </c>
      <c r="W20" s="15" t="str">
        <f t="shared" si="2"/>
        <v/>
      </c>
      <c r="X20" s="15" t="str">
        <f t="shared" si="2"/>
        <v/>
      </c>
      <c r="Y20" s="15" t="str">
        <f t="shared" si="2"/>
        <v/>
      </c>
      <c r="Z20" s="15" t="str">
        <f t="shared" si="2"/>
        <v/>
      </c>
    </row>
    <row r="21" spans="1:26" x14ac:dyDescent="0.3">
      <c r="A21" s="16" t="s">
        <v>98</v>
      </c>
      <c r="B21" s="6" t="s">
        <v>99</v>
      </c>
      <c r="C21" s="6" t="s">
        <v>100</v>
      </c>
      <c r="D21" s="7" t="s">
        <v>7</v>
      </c>
      <c r="E21" s="6" t="str">
        <f>IFERROR(IF(INDEX('Thông tin'!$C$7:$C$9,MATCH(D21,'Thông tin'!$B$7:$B$9,0))="","",INDEX('Thông tin'!$C$7:$C$9,MATCH(D21,'Thông tin'!$B$7:$B$9,0))),"")</f>
        <v>Phạm Ngọc Trung</v>
      </c>
      <c r="F21" s="7" t="s">
        <v>11</v>
      </c>
      <c r="G21" s="8">
        <v>46321</v>
      </c>
      <c r="H21" s="8">
        <v>46327</v>
      </c>
      <c r="I21" s="17">
        <f t="shared" si="0"/>
        <v>7</v>
      </c>
      <c r="J21" s="7">
        <v>6</v>
      </c>
      <c r="K21" s="7" t="s">
        <v>92</v>
      </c>
      <c r="L21" s="6" t="s">
        <v>60</v>
      </c>
      <c r="M21" s="15" t="str">
        <f t="shared" si="2"/>
        <v/>
      </c>
      <c r="N21" s="15" t="str">
        <f t="shared" si="2"/>
        <v/>
      </c>
      <c r="O21" s="15">
        <f t="shared" si="2"/>
        <v>1</v>
      </c>
      <c r="P21" s="15" t="str">
        <f t="shared" si="2"/>
        <v/>
      </c>
      <c r="Q21" s="15" t="str">
        <f t="shared" si="2"/>
        <v/>
      </c>
      <c r="R21" s="15" t="str">
        <f t="shared" si="2"/>
        <v/>
      </c>
      <c r="S21" s="15" t="str">
        <f t="shared" si="2"/>
        <v/>
      </c>
      <c r="T21" s="15" t="str">
        <f t="shared" si="2"/>
        <v/>
      </c>
      <c r="U21" s="15" t="str">
        <f t="shared" si="2"/>
        <v/>
      </c>
      <c r="V21" s="15" t="str">
        <f t="shared" si="2"/>
        <v/>
      </c>
      <c r="W21" s="15" t="str">
        <f t="shared" si="2"/>
        <v/>
      </c>
      <c r="X21" s="15" t="str">
        <f t="shared" si="2"/>
        <v/>
      </c>
      <c r="Y21" s="15" t="str">
        <f t="shared" si="2"/>
        <v/>
      </c>
      <c r="Z21" s="15" t="str">
        <f t="shared" si="2"/>
        <v/>
      </c>
    </row>
    <row r="22" spans="1:26" x14ac:dyDescent="0.3">
      <c r="A22" s="16" t="s">
        <v>101</v>
      </c>
      <c r="B22" s="6" t="s">
        <v>102</v>
      </c>
      <c r="C22" s="6" t="s">
        <v>103</v>
      </c>
      <c r="D22" s="7" t="s">
        <v>11</v>
      </c>
      <c r="E22" s="6" t="str">
        <f>IFERROR(IF(INDEX('Thông tin'!$C$7:$C$9,MATCH(D22,'Thông tin'!$B$7:$B$9,0))="","",INDEX('Thông tin'!$C$7:$C$9,MATCH(D22,'Thông tin'!$B$7:$B$9,0))),"")</f>
        <v>Trần Quốc Anh Hoàng</v>
      </c>
      <c r="F22" s="7" t="s">
        <v>14</v>
      </c>
      <c r="G22" s="8">
        <v>46314</v>
      </c>
      <c r="H22" s="8">
        <v>46334</v>
      </c>
      <c r="I22" s="17">
        <f t="shared" si="0"/>
        <v>21</v>
      </c>
      <c r="J22" s="7">
        <v>16</v>
      </c>
      <c r="K22" s="7" t="s">
        <v>73</v>
      </c>
      <c r="L22" s="6" t="s">
        <v>60</v>
      </c>
      <c r="M22" s="15" t="str">
        <f t="shared" si="2"/>
        <v/>
      </c>
      <c r="N22" s="15">
        <f t="shared" si="2"/>
        <v>1</v>
      </c>
      <c r="O22" s="15">
        <f t="shared" si="2"/>
        <v>1</v>
      </c>
      <c r="P22" s="15">
        <f t="shared" si="2"/>
        <v>1</v>
      </c>
      <c r="Q22" s="15" t="str">
        <f t="shared" si="2"/>
        <v/>
      </c>
      <c r="R22" s="15" t="str">
        <f t="shared" si="2"/>
        <v/>
      </c>
      <c r="S22" s="15" t="str">
        <f t="shared" si="2"/>
        <v/>
      </c>
      <c r="T22" s="15" t="str">
        <f t="shared" si="2"/>
        <v/>
      </c>
      <c r="U22" s="15" t="str">
        <f t="shared" si="2"/>
        <v/>
      </c>
      <c r="V22" s="15" t="str">
        <f t="shared" si="2"/>
        <v/>
      </c>
      <c r="W22" s="15" t="str">
        <f t="shared" si="2"/>
        <v/>
      </c>
      <c r="X22" s="15" t="str">
        <f t="shared" si="2"/>
        <v/>
      </c>
      <c r="Y22" s="15" t="str">
        <f t="shared" si="2"/>
        <v/>
      </c>
      <c r="Z22" s="15" t="str">
        <f t="shared" si="2"/>
        <v/>
      </c>
    </row>
    <row r="23" spans="1:26" ht="26.4" x14ac:dyDescent="0.3">
      <c r="A23" s="16" t="s">
        <v>104</v>
      </c>
      <c r="B23" s="6" t="s">
        <v>105</v>
      </c>
      <c r="C23" s="6" t="s">
        <v>106</v>
      </c>
      <c r="D23" s="7" t="s">
        <v>7</v>
      </c>
      <c r="E23" s="6" t="str">
        <f>IFERROR(IF(INDEX('Thông tin'!$C$7:$C$9,MATCH(D23,'Thông tin'!$B$7:$B$9,0))="","",INDEX('Thông tin'!$C$7:$C$9,MATCH(D23,'Thông tin'!$B$7:$B$9,0))),"")</f>
        <v>Phạm Ngọc Trung</v>
      </c>
      <c r="F23" s="7" t="s">
        <v>14</v>
      </c>
      <c r="G23" s="8">
        <v>46321</v>
      </c>
      <c r="H23" s="8">
        <v>46334</v>
      </c>
      <c r="I23" s="17">
        <f t="shared" si="0"/>
        <v>14</v>
      </c>
      <c r="J23" s="7">
        <v>8</v>
      </c>
      <c r="K23" s="7" t="s">
        <v>80</v>
      </c>
      <c r="L23" s="6" t="s">
        <v>60</v>
      </c>
      <c r="M23" s="15" t="str">
        <f t="shared" si="2"/>
        <v/>
      </c>
      <c r="N23" s="15" t="str">
        <f t="shared" si="2"/>
        <v/>
      </c>
      <c r="O23" s="15">
        <f t="shared" si="2"/>
        <v>1</v>
      </c>
      <c r="P23" s="15">
        <f t="shared" si="2"/>
        <v>1</v>
      </c>
      <c r="Q23" s="15" t="str">
        <f t="shared" si="2"/>
        <v/>
      </c>
      <c r="R23" s="15" t="str">
        <f t="shared" si="2"/>
        <v/>
      </c>
      <c r="S23" s="15" t="str">
        <f t="shared" si="2"/>
        <v/>
      </c>
      <c r="T23" s="15" t="str">
        <f t="shared" si="2"/>
        <v/>
      </c>
      <c r="U23" s="15" t="str">
        <f t="shared" si="2"/>
        <v/>
      </c>
      <c r="V23" s="15" t="str">
        <f t="shared" si="2"/>
        <v/>
      </c>
      <c r="W23" s="15" t="str">
        <f t="shared" si="2"/>
        <v/>
      </c>
      <c r="X23" s="15" t="str">
        <f t="shared" si="2"/>
        <v/>
      </c>
      <c r="Y23" s="15" t="str">
        <f t="shared" si="2"/>
        <v/>
      </c>
      <c r="Z23" s="15" t="str">
        <f t="shared" si="2"/>
        <v/>
      </c>
    </row>
    <row r="24" spans="1:26" x14ac:dyDescent="0.3">
      <c r="A24" s="16" t="s">
        <v>107</v>
      </c>
      <c r="B24" s="6" t="s">
        <v>108</v>
      </c>
      <c r="C24" s="6" t="s">
        <v>109</v>
      </c>
      <c r="D24" s="7" t="s">
        <v>14</v>
      </c>
      <c r="E24" s="6" t="str">
        <f>IFERROR(IF(INDEX('Thông tin'!$C$7:$C$9,MATCH(D24,'Thông tin'!$B$7:$B$9,0))="","",INDEX('Thông tin'!$C$7:$C$9,MATCH(D24,'Thông tin'!$B$7:$B$9,0))),"")</f>
        <v>Nguyễn Văn Thu</v>
      </c>
      <c r="F24" s="7" t="s">
        <v>76</v>
      </c>
      <c r="G24" s="8">
        <v>46335</v>
      </c>
      <c r="H24" s="8">
        <v>46348</v>
      </c>
      <c r="I24" s="17">
        <f t="shared" si="0"/>
        <v>14</v>
      </c>
      <c r="J24" s="7">
        <v>8</v>
      </c>
      <c r="K24" s="7" t="s">
        <v>110</v>
      </c>
      <c r="L24" s="6" t="s">
        <v>60</v>
      </c>
      <c r="M24" s="15" t="str">
        <f t="shared" si="2"/>
        <v/>
      </c>
      <c r="N24" s="15" t="str">
        <f t="shared" si="2"/>
        <v/>
      </c>
      <c r="O24" s="15" t="str">
        <f t="shared" si="2"/>
        <v/>
      </c>
      <c r="P24" s="15" t="str">
        <f t="shared" si="2"/>
        <v/>
      </c>
      <c r="Q24" s="15">
        <f t="shared" si="2"/>
        <v>1</v>
      </c>
      <c r="R24" s="15">
        <f t="shared" si="2"/>
        <v>1</v>
      </c>
      <c r="S24" s="15" t="str">
        <f t="shared" si="2"/>
        <v/>
      </c>
      <c r="T24" s="15" t="str">
        <f t="shared" si="2"/>
        <v/>
      </c>
      <c r="U24" s="15" t="str">
        <f t="shared" si="2"/>
        <v/>
      </c>
      <c r="V24" s="15" t="str">
        <f t="shared" si="2"/>
        <v/>
      </c>
      <c r="W24" s="15" t="str">
        <f t="shared" si="2"/>
        <v/>
      </c>
      <c r="X24" s="15" t="str">
        <f t="shared" si="2"/>
        <v/>
      </c>
      <c r="Y24" s="15" t="str">
        <f t="shared" si="2"/>
        <v/>
      </c>
      <c r="Z24" s="15" t="str">
        <f t="shared" si="2"/>
        <v/>
      </c>
    </row>
    <row r="25" spans="1:26" x14ac:dyDescent="0.3">
      <c r="A25" s="11" t="s">
        <v>111</v>
      </c>
      <c r="B25" s="12" t="s">
        <v>112</v>
      </c>
      <c r="C25" s="12"/>
      <c r="D25" s="12"/>
      <c r="E25" s="12"/>
      <c r="F25" s="12"/>
      <c r="G25" s="13">
        <f>MIN(G26:G40)</f>
        <v>46328</v>
      </c>
      <c r="H25" s="13">
        <f>MAX(H26:H40)</f>
        <v>46383</v>
      </c>
      <c r="I25" s="14">
        <f t="shared" si="0"/>
        <v>56</v>
      </c>
      <c r="J25" s="11">
        <f>SUM(J26:J40)</f>
        <v>194</v>
      </c>
      <c r="K25" s="12"/>
      <c r="L25" s="12"/>
      <c r="M25" s="15" t="str">
        <f t="shared" ref="M25:Z34" si="3">IF(AND($G25&lt;=M$3,$H25&gt;=M$2),1,"")</f>
        <v/>
      </c>
      <c r="N25" s="15" t="str">
        <f t="shared" si="3"/>
        <v/>
      </c>
      <c r="O25" s="15" t="str">
        <f t="shared" si="3"/>
        <v/>
      </c>
      <c r="P25" s="15">
        <f t="shared" si="3"/>
        <v>1</v>
      </c>
      <c r="Q25" s="15">
        <f t="shared" si="3"/>
        <v>1</v>
      </c>
      <c r="R25" s="15">
        <f t="shared" si="3"/>
        <v>1</v>
      </c>
      <c r="S25" s="15">
        <f t="shared" si="3"/>
        <v>1</v>
      </c>
      <c r="T25" s="15">
        <f t="shared" si="3"/>
        <v>1</v>
      </c>
      <c r="U25" s="15">
        <f t="shared" si="3"/>
        <v>1</v>
      </c>
      <c r="V25" s="15">
        <f t="shared" si="3"/>
        <v>1</v>
      </c>
      <c r="W25" s="15">
        <f t="shared" si="3"/>
        <v>1</v>
      </c>
      <c r="X25" s="15" t="str">
        <f t="shared" si="3"/>
        <v/>
      </c>
      <c r="Y25" s="15" t="str">
        <f t="shared" si="3"/>
        <v/>
      </c>
      <c r="Z25" s="15" t="str">
        <f t="shared" si="3"/>
        <v/>
      </c>
    </row>
    <row r="26" spans="1:26" ht="26.4" x14ac:dyDescent="0.3">
      <c r="A26" s="16" t="s">
        <v>113</v>
      </c>
      <c r="B26" s="6" t="s">
        <v>114</v>
      </c>
      <c r="C26" s="6" t="s">
        <v>115</v>
      </c>
      <c r="D26" s="7" t="s">
        <v>7</v>
      </c>
      <c r="E26" s="6" t="str">
        <f>IFERROR(IF(INDEX('Thông tin'!$C$7:$C$9,MATCH(D26,'Thông tin'!$B$7:$B$9,0))="","",INDEX('Thông tin'!$C$7:$C$9,MATCH(D26,'Thông tin'!$B$7:$B$9,0))),"")</f>
        <v>Phạm Ngọc Trung</v>
      </c>
      <c r="F26" s="7"/>
      <c r="G26" s="8">
        <v>46328</v>
      </c>
      <c r="H26" s="8">
        <v>46334</v>
      </c>
      <c r="I26" s="17">
        <f t="shared" si="0"/>
        <v>7</v>
      </c>
      <c r="J26" s="7">
        <v>14</v>
      </c>
      <c r="K26" s="7" t="s">
        <v>116</v>
      </c>
      <c r="L26" s="6" t="s">
        <v>60</v>
      </c>
      <c r="M26" s="15" t="str">
        <f t="shared" si="3"/>
        <v/>
      </c>
      <c r="N26" s="15" t="str">
        <f t="shared" si="3"/>
        <v/>
      </c>
      <c r="O26" s="15" t="str">
        <f t="shared" si="3"/>
        <v/>
      </c>
      <c r="P26" s="15">
        <f t="shared" si="3"/>
        <v>1</v>
      </c>
      <c r="Q26" s="15" t="str">
        <f t="shared" si="3"/>
        <v/>
      </c>
      <c r="R26" s="15" t="str">
        <f t="shared" si="3"/>
        <v/>
      </c>
      <c r="S26" s="15" t="str">
        <f t="shared" si="3"/>
        <v/>
      </c>
      <c r="T26" s="15" t="str">
        <f t="shared" si="3"/>
        <v/>
      </c>
      <c r="U26" s="15" t="str">
        <f t="shared" si="3"/>
        <v/>
      </c>
      <c r="V26" s="15" t="str">
        <f t="shared" si="3"/>
        <v/>
      </c>
      <c r="W26" s="15" t="str">
        <f t="shared" si="3"/>
        <v/>
      </c>
      <c r="X26" s="15" t="str">
        <f t="shared" si="3"/>
        <v/>
      </c>
      <c r="Y26" s="15" t="str">
        <f t="shared" si="3"/>
        <v/>
      </c>
      <c r="Z26" s="15" t="str">
        <f t="shared" si="3"/>
        <v/>
      </c>
    </row>
    <row r="27" spans="1:26" ht="26.4" x14ac:dyDescent="0.3">
      <c r="A27" s="16" t="s">
        <v>117</v>
      </c>
      <c r="B27" s="6" t="s">
        <v>118</v>
      </c>
      <c r="C27" s="6" t="s">
        <v>119</v>
      </c>
      <c r="D27" s="7" t="s">
        <v>11</v>
      </c>
      <c r="E27" s="6" t="str">
        <f>IFERROR(IF(INDEX('Thông tin'!$C$7:$C$9,MATCH(D27,'Thông tin'!$B$7:$B$9,0))="","",INDEX('Thông tin'!$C$7:$C$9,MATCH(D27,'Thông tin'!$B$7:$B$9,0))),"")</f>
        <v>Trần Quốc Anh Hoàng</v>
      </c>
      <c r="F27" s="7" t="s">
        <v>7</v>
      </c>
      <c r="G27" s="8">
        <v>46335</v>
      </c>
      <c r="H27" s="8">
        <v>46341</v>
      </c>
      <c r="I27" s="17">
        <f t="shared" si="0"/>
        <v>7</v>
      </c>
      <c r="J27" s="7">
        <v>12</v>
      </c>
      <c r="K27" s="7" t="s">
        <v>113</v>
      </c>
      <c r="L27" s="6" t="s">
        <v>60</v>
      </c>
      <c r="M27" s="15" t="str">
        <f t="shared" si="3"/>
        <v/>
      </c>
      <c r="N27" s="15" t="str">
        <f t="shared" si="3"/>
        <v/>
      </c>
      <c r="O27" s="15" t="str">
        <f t="shared" si="3"/>
        <v/>
      </c>
      <c r="P27" s="15" t="str">
        <f t="shared" si="3"/>
        <v/>
      </c>
      <c r="Q27" s="15">
        <f t="shared" si="3"/>
        <v>1</v>
      </c>
      <c r="R27" s="15" t="str">
        <f t="shared" si="3"/>
        <v/>
      </c>
      <c r="S27" s="15" t="str">
        <f t="shared" si="3"/>
        <v/>
      </c>
      <c r="T27" s="15" t="str">
        <f t="shared" si="3"/>
        <v/>
      </c>
      <c r="U27" s="15" t="str">
        <f t="shared" si="3"/>
        <v/>
      </c>
      <c r="V27" s="15" t="str">
        <f t="shared" si="3"/>
        <v/>
      </c>
      <c r="W27" s="15" t="str">
        <f t="shared" si="3"/>
        <v/>
      </c>
      <c r="X27" s="15" t="str">
        <f t="shared" si="3"/>
        <v/>
      </c>
      <c r="Y27" s="15" t="str">
        <f t="shared" si="3"/>
        <v/>
      </c>
      <c r="Z27" s="15" t="str">
        <f t="shared" si="3"/>
        <v/>
      </c>
    </row>
    <row r="28" spans="1:26" x14ac:dyDescent="0.3">
      <c r="A28" s="16" t="s">
        <v>120</v>
      </c>
      <c r="B28" s="6" t="s">
        <v>121</v>
      </c>
      <c r="C28" s="6" t="s">
        <v>122</v>
      </c>
      <c r="D28" s="7" t="s">
        <v>7</v>
      </c>
      <c r="E28" s="6" t="str">
        <f>IFERROR(IF(INDEX('Thông tin'!$C$7:$C$9,MATCH(D28,'Thông tin'!$B$7:$B$9,0))="","",INDEX('Thông tin'!$C$7:$C$9,MATCH(D28,'Thông tin'!$B$7:$B$9,0))),"")</f>
        <v>Phạm Ngọc Trung</v>
      </c>
      <c r="F28" s="7"/>
      <c r="G28" s="8">
        <v>46335</v>
      </c>
      <c r="H28" s="8">
        <v>46348</v>
      </c>
      <c r="I28" s="17">
        <f t="shared" si="0"/>
        <v>14</v>
      </c>
      <c r="J28" s="7">
        <v>16</v>
      </c>
      <c r="K28" s="7" t="s">
        <v>113</v>
      </c>
      <c r="L28" s="6" t="s">
        <v>60</v>
      </c>
      <c r="M28" s="15" t="str">
        <f t="shared" si="3"/>
        <v/>
      </c>
      <c r="N28" s="15" t="str">
        <f t="shared" si="3"/>
        <v/>
      </c>
      <c r="O28" s="15" t="str">
        <f t="shared" si="3"/>
        <v/>
      </c>
      <c r="P28" s="15" t="str">
        <f t="shared" si="3"/>
        <v/>
      </c>
      <c r="Q28" s="15">
        <f t="shared" si="3"/>
        <v>1</v>
      </c>
      <c r="R28" s="15">
        <f t="shared" si="3"/>
        <v>1</v>
      </c>
      <c r="S28" s="15" t="str">
        <f t="shared" si="3"/>
        <v/>
      </c>
      <c r="T28" s="15" t="str">
        <f t="shared" si="3"/>
        <v/>
      </c>
      <c r="U28" s="15" t="str">
        <f t="shared" si="3"/>
        <v/>
      </c>
      <c r="V28" s="15" t="str">
        <f t="shared" si="3"/>
        <v/>
      </c>
      <c r="W28" s="15" t="str">
        <f t="shared" si="3"/>
        <v/>
      </c>
      <c r="X28" s="15" t="str">
        <f t="shared" si="3"/>
        <v/>
      </c>
      <c r="Y28" s="15" t="str">
        <f t="shared" si="3"/>
        <v/>
      </c>
      <c r="Z28" s="15" t="str">
        <f t="shared" si="3"/>
        <v/>
      </c>
    </row>
    <row r="29" spans="1:26" ht="26.4" x14ac:dyDescent="0.3">
      <c r="A29" s="16" t="s">
        <v>123</v>
      </c>
      <c r="B29" s="6" t="s">
        <v>124</v>
      </c>
      <c r="C29" s="6" t="s">
        <v>125</v>
      </c>
      <c r="D29" s="7" t="s">
        <v>7</v>
      </c>
      <c r="E29" s="6" t="str">
        <f>IFERROR(IF(INDEX('Thông tin'!$C$7:$C$9,MATCH(D29,'Thông tin'!$B$7:$B$9,0))="","",INDEX('Thông tin'!$C$7:$C$9,MATCH(D29,'Thông tin'!$B$7:$B$9,0))),"")</f>
        <v>Phạm Ngọc Trung</v>
      </c>
      <c r="F29" s="7"/>
      <c r="G29" s="8">
        <v>46342</v>
      </c>
      <c r="H29" s="8">
        <v>46348</v>
      </c>
      <c r="I29" s="17">
        <f t="shared" si="0"/>
        <v>7</v>
      </c>
      <c r="J29" s="7">
        <v>12</v>
      </c>
      <c r="K29" s="7" t="s">
        <v>120</v>
      </c>
      <c r="L29" s="6" t="s">
        <v>60</v>
      </c>
      <c r="M29" s="15" t="str">
        <f t="shared" si="3"/>
        <v/>
      </c>
      <c r="N29" s="15" t="str">
        <f t="shared" si="3"/>
        <v/>
      </c>
      <c r="O29" s="15" t="str">
        <f t="shared" si="3"/>
        <v/>
      </c>
      <c r="P29" s="15" t="str">
        <f t="shared" si="3"/>
        <v/>
      </c>
      <c r="Q29" s="15" t="str">
        <f t="shared" si="3"/>
        <v/>
      </c>
      <c r="R29" s="15">
        <f t="shared" si="3"/>
        <v>1</v>
      </c>
      <c r="S29" s="15" t="str">
        <f t="shared" si="3"/>
        <v/>
      </c>
      <c r="T29" s="15" t="str">
        <f t="shared" si="3"/>
        <v/>
      </c>
      <c r="U29" s="15" t="str">
        <f t="shared" si="3"/>
        <v/>
      </c>
      <c r="V29" s="15" t="str">
        <f t="shared" si="3"/>
        <v/>
      </c>
      <c r="W29" s="15" t="str">
        <f t="shared" si="3"/>
        <v/>
      </c>
      <c r="X29" s="15" t="str">
        <f t="shared" si="3"/>
        <v/>
      </c>
      <c r="Y29" s="15" t="str">
        <f t="shared" si="3"/>
        <v/>
      </c>
      <c r="Z29" s="15" t="str">
        <f t="shared" si="3"/>
        <v/>
      </c>
    </row>
    <row r="30" spans="1:26" x14ac:dyDescent="0.3">
      <c r="A30" s="16" t="s">
        <v>126</v>
      </c>
      <c r="B30" s="6" t="s">
        <v>127</v>
      </c>
      <c r="C30" s="6" t="s">
        <v>128</v>
      </c>
      <c r="D30" s="7" t="s">
        <v>7</v>
      </c>
      <c r="E30" s="6" t="str">
        <f>IFERROR(IF(INDEX('Thông tin'!$C$7:$C$9,MATCH(D30,'Thông tin'!$B$7:$B$9,0))="","",INDEX('Thông tin'!$C$7:$C$9,MATCH(D30,'Thông tin'!$B$7:$B$9,0))),"")</f>
        <v>Phạm Ngọc Trung</v>
      </c>
      <c r="F30" s="7"/>
      <c r="G30" s="8">
        <v>46349</v>
      </c>
      <c r="H30" s="8">
        <v>46362</v>
      </c>
      <c r="I30" s="17">
        <f t="shared" si="0"/>
        <v>14</v>
      </c>
      <c r="J30" s="7">
        <v>12</v>
      </c>
      <c r="K30" s="7" t="s">
        <v>123</v>
      </c>
      <c r="L30" s="6" t="s">
        <v>60</v>
      </c>
      <c r="M30" s="15" t="str">
        <f t="shared" si="3"/>
        <v/>
      </c>
      <c r="N30" s="15" t="str">
        <f t="shared" si="3"/>
        <v/>
      </c>
      <c r="O30" s="15" t="str">
        <f t="shared" si="3"/>
        <v/>
      </c>
      <c r="P30" s="15" t="str">
        <f t="shared" si="3"/>
        <v/>
      </c>
      <c r="Q30" s="15" t="str">
        <f t="shared" si="3"/>
        <v/>
      </c>
      <c r="R30" s="15" t="str">
        <f t="shared" si="3"/>
        <v/>
      </c>
      <c r="S30" s="15">
        <f t="shared" si="3"/>
        <v>1</v>
      </c>
      <c r="T30" s="15">
        <f t="shared" si="3"/>
        <v>1</v>
      </c>
      <c r="U30" s="15" t="str">
        <f t="shared" si="3"/>
        <v/>
      </c>
      <c r="V30" s="15" t="str">
        <f t="shared" si="3"/>
        <v/>
      </c>
      <c r="W30" s="15" t="str">
        <f t="shared" si="3"/>
        <v/>
      </c>
      <c r="X30" s="15" t="str">
        <f t="shared" si="3"/>
        <v/>
      </c>
      <c r="Y30" s="15" t="str">
        <f t="shared" si="3"/>
        <v/>
      </c>
      <c r="Z30" s="15" t="str">
        <f t="shared" si="3"/>
        <v/>
      </c>
    </row>
    <row r="31" spans="1:26" x14ac:dyDescent="0.3">
      <c r="A31" s="16" t="s">
        <v>129</v>
      </c>
      <c r="B31" s="6" t="s">
        <v>130</v>
      </c>
      <c r="C31" s="6" t="s">
        <v>131</v>
      </c>
      <c r="D31" s="7" t="s">
        <v>11</v>
      </c>
      <c r="E31" s="6" t="str">
        <f>IFERROR(IF(INDEX('Thông tin'!$C$7:$C$9,MATCH(D31,'Thông tin'!$B$7:$B$9,0))="","",INDEX('Thông tin'!$C$7:$C$9,MATCH(D31,'Thông tin'!$B$7:$B$9,0))),"")</f>
        <v>Trần Quốc Anh Hoàng</v>
      </c>
      <c r="F31" s="7" t="s">
        <v>7</v>
      </c>
      <c r="G31" s="8">
        <v>46356</v>
      </c>
      <c r="H31" s="8">
        <v>46369</v>
      </c>
      <c r="I31" s="17">
        <f t="shared" si="0"/>
        <v>14</v>
      </c>
      <c r="J31" s="7">
        <v>8</v>
      </c>
      <c r="K31" s="7" t="s">
        <v>126</v>
      </c>
      <c r="L31" s="6" t="s">
        <v>60</v>
      </c>
      <c r="M31" s="15" t="str">
        <f t="shared" si="3"/>
        <v/>
      </c>
      <c r="N31" s="15" t="str">
        <f t="shared" si="3"/>
        <v/>
      </c>
      <c r="O31" s="15" t="str">
        <f t="shared" si="3"/>
        <v/>
      </c>
      <c r="P31" s="15" t="str">
        <f t="shared" si="3"/>
        <v/>
      </c>
      <c r="Q31" s="15" t="str">
        <f t="shared" si="3"/>
        <v/>
      </c>
      <c r="R31" s="15" t="str">
        <f t="shared" si="3"/>
        <v/>
      </c>
      <c r="S31" s="15" t="str">
        <f t="shared" si="3"/>
        <v/>
      </c>
      <c r="T31" s="15">
        <f t="shared" si="3"/>
        <v>1</v>
      </c>
      <c r="U31" s="15">
        <f t="shared" si="3"/>
        <v>1</v>
      </c>
      <c r="V31" s="15" t="str">
        <f t="shared" si="3"/>
        <v/>
      </c>
      <c r="W31" s="15" t="str">
        <f t="shared" si="3"/>
        <v/>
      </c>
      <c r="X31" s="15" t="str">
        <f t="shared" si="3"/>
        <v/>
      </c>
      <c r="Y31" s="15" t="str">
        <f t="shared" si="3"/>
        <v/>
      </c>
      <c r="Z31" s="15" t="str">
        <f t="shared" si="3"/>
        <v/>
      </c>
    </row>
    <row r="32" spans="1:26" x14ac:dyDescent="0.3">
      <c r="A32" s="16" t="s">
        <v>132</v>
      </c>
      <c r="B32" s="6" t="s">
        <v>133</v>
      </c>
      <c r="C32" s="6" t="s">
        <v>134</v>
      </c>
      <c r="D32" s="7" t="s">
        <v>7</v>
      </c>
      <c r="E32" s="6" t="str">
        <f>IFERROR(IF(INDEX('Thông tin'!$C$7:$C$9,MATCH(D32,'Thông tin'!$B$7:$B$9,0))="","",INDEX('Thông tin'!$C$7:$C$9,MATCH(D32,'Thông tin'!$B$7:$B$9,0))),"")</f>
        <v>Phạm Ngọc Trung</v>
      </c>
      <c r="F32" s="7" t="s">
        <v>14</v>
      </c>
      <c r="G32" s="8">
        <v>46342</v>
      </c>
      <c r="H32" s="8">
        <v>46355</v>
      </c>
      <c r="I32" s="17">
        <f t="shared" si="0"/>
        <v>14</v>
      </c>
      <c r="J32" s="7">
        <v>10</v>
      </c>
      <c r="K32" s="7" t="s">
        <v>135</v>
      </c>
      <c r="L32" s="6" t="s">
        <v>60</v>
      </c>
      <c r="M32" s="15" t="str">
        <f t="shared" si="3"/>
        <v/>
      </c>
      <c r="N32" s="15" t="str">
        <f t="shared" si="3"/>
        <v/>
      </c>
      <c r="O32" s="15" t="str">
        <f t="shared" si="3"/>
        <v/>
      </c>
      <c r="P32" s="15" t="str">
        <f t="shared" si="3"/>
        <v/>
      </c>
      <c r="Q32" s="15" t="str">
        <f t="shared" si="3"/>
        <v/>
      </c>
      <c r="R32" s="15">
        <f t="shared" si="3"/>
        <v>1</v>
      </c>
      <c r="S32" s="15">
        <f t="shared" si="3"/>
        <v>1</v>
      </c>
      <c r="T32" s="15" t="str">
        <f t="shared" si="3"/>
        <v/>
      </c>
      <c r="U32" s="15" t="str">
        <f t="shared" si="3"/>
        <v/>
      </c>
      <c r="V32" s="15" t="str">
        <f t="shared" si="3"/>
        <v/>
      </c>
      <c r="W32" s="15" t="str">
        <f t="shared" si="3"/>
        <v/>
      </c>
      <c r="X32" s="15" t="str">
        <f t="shared" si="3"/>
        <v/>
      </c>
      <c r="Y32" s="15" t="str">
        <f t="shared" si="3"/>
        <v/>
      </c>
      <c r="Z32" s="15" t="str">
        <f t="shared" si="3"/>
        <v/>
      </c>
    </row>
    <row r="33" spans="1:26" x14ac:dyDescent="0.3">
      <c r="A33" s="16" t="s">
        <v>136</v>
      </c>
      <c r="B33" s="6" t="s">
        <v>137</v>
      </c>
      <c r="C33" s="6" t="s">
        <v>138</v>
      </c>
      <c r="D33" s="7" t="s">
        <v>14</v>
      </c>
      <c r="E33" s="6" t="str">
        <f>IFERROR(IF(INDEX('Thông tin'!$C$7:$C$9,MATCH(D33,'Thông tin'!$B$7:$B$9,0))="","",INDEX('Thông tin'!$C$7:$C$9,MATCH(D33,'Thông tin'!$B$7:$B$9,0))),"")</f>
        <v>Nguyễn Văn Thu</v>
      </c>
      <c r="F33" s="7" t="s">
        <v>7</v>
      </c>
      <c r="G33" s="8">
        <v>46356</v>
      </c>
      <c r="H33" s="8">
        <v>46362</v>
      </c>
      <c r="I33" s="17">
        <f t="shared" si="0"/>
        <v>7</v>
      </c>
      <c r="J33" s="7">
        <v>8</v>
      </c>
      <c r="K33" s="7" t="s">
        <v>120</v>
      </c>
      <c r="L33" s="6" t="s">
        <v>60</v>
      </c>
      <c r="M33" s="15" t="str">
        <f t="shared" si="3"/>
        <v/>
      </c>
      <c r="N33" s="15" t="str">
        <f t="shared" si="3"/>
        <v/>
      </c>
      <c r="O33" s="15" t="str">
        <f t="shared" si="3"/>
        <v/>
      </c>
      <c r="P33" s="15" t="str">
        <f t="shared" si="3"/>
        <v/>
      </c>
      <c r="Q33" s="15" t="str">
        <f t="shared" si="3"/>
        <v/>
      </c>
      <c r="R33" s="15" t="str">
        <f t="shared" si="3"/>
        <v/>
      </c>
      <c r="S33" s="15" t="str">
        <f t="shared" si="3"/>
        <v/>
      </c>
      <c r="T33" s="15">
        <f t="shared" si="3"/>
        <v>1</v>
      </c>
      <c r="U33" s="15" t="str">
        <f t="shared" si="3"/>
        <v/>
      </c>
      <c r="V33" s="15" t="str">
        <f t="shared" si="3"/>
        <v/>
      </c>
      <c r="W33" s="15" t="str">
        <f t="shared" si="3"/>
        <v/>
      </c>
      <c r="X33" s="15" t="str">
        <f t="shared" si="3"/>
        <v/>
      </c>
      <c r="Y33" s="15" t="str">
        <f t="shared" si="3"/>
        <v/>
      </c>
      <c r="Z33" s="15" t="str">
        <f t="shared" si="3"/>
        <v/>
      </c>
    </row>
    <row r="34" spans="1:26" x14ac:dyDescent="0.3">
      <c r="A34" s="16" t="s">
        <v>139</v>
      </c>
      <c r="B34" s="6" t="s">
        <v>140</v>
      </c>
      <c r="C34" s="6" t="s">
        <v>141</v>
      </c>
      <c r="D34" s="7" t="s">
        <v>14</v>
      </c>
      <c r="E34" s="6" t="str">
        <f>IFERROR(IF(INDEX('Thông tin'!$C$7:$C$9,MATCH(D34,'Thông tin'!$B$7:$B$9,0))="","",INDEX('Thông tin'!$C$7:$C$9,MATCH(D34,'Thông tin'!$B$7:$B$9,0))),"")</f>
        <v>Nguyễn Văn Thu</v>
      </c>
      <c r="F34" s="7" t="s">
        <v>7</v>
      </c>
      <c r="G34" s="8">
        <v>46363</v>
      </c>
      <c r="H34" s="8">
        <v>46376</v>
      </c>
      <c r="I34" s="17">
        <f t="shared" si="0"/>
        <v>14</v>
      </c>
      <c r="J34" s="7">
        <v>10</v>
      </c>
      <c r="K34" s="7" t="s">
        <v>129</v>
      </c>
      <c r="L34" s="6" t="s">
        <v>60</v>
      </c>
      <c r="M34" s="15" t="str">
        <f t="shared" si="3"/>
        <v/>
      </c>
      <c r="N34" s="15" t="str">
        <f t="shared" si="3"/>
        <v/>
      </c>
      <c r="O34" s="15" t="str">
        <f t="shared" si="3"/>
        <v/>
      </c>
      <c r="P34" s="15" t="str">
        <f t="shared" si="3"/>
        <v/>
      </c>
      <c r="Q34" s="15" t="str">
        <f t="shared" si="3"/>
        <v/>
      </c>
      <c r="R34" s="15" t="str">
        <f t="shared" si="3"/>
        <v/>
      </c>
      <c r="S34" s="15" t="str">
        <f t="shared" si="3"/>
        <v/>
      </c>
      <c r="T34" s="15" t="str">
        <f t="shared" si="3"/>
        <v/>
      </c>
      <c r="U34" s="15">
        <f t="shared" si="3"/>
        <v>1</v>
      </c>
      <c r="V34" s="15">
        <f t="shared" si="3"/>
        <v>1</v>
      </c>
      <c r="W34" s="15" t="str">
        <f t="shared" si="3"/>
        <v/>
      </c>
      <c r="X34" s="15" t="str">
        <f t="shared" si="3"/>
        <v/>
      </c>
      <c r="Y34" s="15" t="str">
        <f t="shared" si="3"/>
        <v/>
      </c>
      <c r="Z34" s="15" t="str">
        <f t="shared" si="3"/>
        <v/>
      </c>
    </row>
    <row r="35" spans="1:26" x14ac:dyDescent="0.3">
      <c r="A35" s="16" t="s">
        <v>142</v>
      </c>
      <c r="B35" s="6" t="s">
        <v>143</v>
      </c>
      <c r="C35" s="6" t="s">
        <v>144</v>
      </c>
      <c r="D35" s="7" t="s">
        <v>11</v>
      </c>
      <c r="E35" s="6" t="str">
        <f>IFERROR(IF(INDEX('Thông tin'!$C$7:$C$9,MATCH(D35,'Thông tin'!$B$7:$B$9,0))="","",INDEX('Thông tin'!$C$7:$C$9,MATCH(D35,'Thông tin'!$B$7:$B$9,0))),"")</f>
        <v>Trần Quốc Anh Hoàng</v>
      </c>
      <c r="F35" s="7"/>
      <c r="G35" s="8">
        <v>46335</v>
      </c>
      <c r="H35" s="8">
        <v>46369</v>
      </c>
      <c r="I35" s="17">
        <f t="shared" si="0"/>
        <v>35</v>
      </c>
      <c r="J35" s="7">
        <v>30</v>
      </c>
      <c r="K35" s="7" t="s">
        <v>145</v>
      </c>
      <c r="L35" s="6" t="s">
        <v>60</v>
      </c>
      <c r="M35" s="15" t="str">
        <f t="shared" ref="M35:Z44" si="4">IF(AND($G35&lt;=M$3,$H35&gt;=M$2),1,"")</f>
        <v/>
      </c>
      <c r="N35" s="15" t="str">
        <f t="shared" si="4"/>
        <v/>
      </c>
      <c r="O35" s="15" t="str">
        <f t="shared" si="4"/>
        <v/>
      </c>
      <c r="P35" s="15" t="str">
        <f t="shared" si="4"/>
        <v/>
      </c>
      <c r="Q35" s="15">
        <f t="shared" si="4"/>
        <v>1</v>
      </c>
      <c r="R35" s="15">
        <f t="shared" si="4"/>
        <v>1</v>
      </c>
      <c r="S35" s="15">
        <f t="shared" si="4"/>
        <v>1</v>
      </c>
      <c r="T35" s="15">
        <f t="shared" si="4"/>
        <v>1</v>
      </c>
      <c r="U35" s="15">
        <f t="shared" si="4"/>
        <v>1</v>
      </c>
      <c r="V35" s="15" t="str">
        <f t="shared" si="4"/>
        <v/>
      </c>
      <c r="W35" s="15" t="str">
        <f t="shared" si="4"/>
        <v/>
      </c>
      <c r="X35" s="15" t="str">
        <f t="shared" si="4"/>
        <v/>
      </c>
      <c r="Y35" s="15" t="str">
        <f t="shared" si="4"/>
        <v/>
      </c>
      <c r="Z35" s="15" t="str">
        <f t="shared" si="4"/>
        <v/>
      </c>
    </row>
    <row r="36" spans="1:26" x14ac:dyDescent="0.3">
      <c r="A36" s="16" t="s">
        <v>146</v>
      </c>
      <c r="B36" s="6" t="s">
        <v>147</v>
      </c>
      <c r="C36" s="6" t="s">
        <v>148</v>
      </c>
      <c r="D36" s="7" t="s">
        <v>11</v>
      </c>
      <c r="E36" s="6" t="str">
        <f>IFERROR(IF(INDEX('Thông tin'!$C$7:$C$9,MATCH(D36,'Thông tin'!$B$7:$B$9,0))="","",INDEX('Thông tin'!$C$7:$C$9,MATCH(D36,'Thông tin'!$B$7:$B$9,0))),"")</f>
        <v>Trần Quốc Anh Hoàng</v>
      </c>
      <c r="F36" s="7" t="s">
        <v>14</v>
      </c>
      <c r="G36" s="8">
        <v>46349</v>
      </c>
      <c r="H36" s="8">
        <v>46376</v>
      </c>
      <c r="I36" s="17">
        <f t="shared" si="0"/>
        <v>28</v>
      </c>
      <c r="J36" s="7">
        <v>18</v>
      </c>
      <c r="K36" s="7" t="s">
        <v>123</v>
      </c>
      <c r="L36" s="6" t="s">
        <v>60</v>
      </c>
      <c r="M36" s="15" t="str">
        <f t="shared" si="4"/>
        <v/>
      </c>
      <c r="N36" s="15" t="str">
        <f t="shared" si="4"/>
        <v/>
      </c>
      <c r="O36" s="15" t="str">
        <f t="shared" si="4"/>
        <v/>
      </c>
      <c r="P36" s="15" t="str">
        <f t="shared" si="4"/>
        <v/>
      </c>
      <c r="Q36" s="15" t="str">
        <f t="shared" si="4"/>
        <v/>
      </c>
      <c r="R36" s="15" t="str">
        <f t="shared" si="4"/>
        <v/>
      </c>
      <c r="S36" s="15">
        <f t="shared" si="4"/>
        <v>1</v>
      </c>
      <c r="T36" s="15">
        <f t="shared" si="4"/>
        <v>1</v>
      </c>
      <c r="U36" s="15">
        <f t="shared" si="4"/>
        <v>1</v>
      </c>
      <c r="V36" s="15">
        <f t="shared" si="4"/>
        <v>1</v>
      </c>
      <c r="W36" s="15" t="str">
        <f t="shared" si="4"/>
        <v/>
      </c>
      <c r="X36" s="15" t="str">
        <f t="shared" si="4"/>
        <v/>
      </c>
      <c r="Y36" s="15" t="str">
        <f t="shared" si="4"/>
        <v/>
      </c>
      <c r="Z36" s="15" t="str">
        <f t="shared" si="4"/>
        <v/>
      </c>
    </row>
    <row r="37" spans="1:26" x14ac:dyDescent="0.3">
      <c r="A37" s="16" t="s">
        <v>149</v>
      </c>
      <c r="B37" s="6" t="s">
        <v>150</v>
      </c>
      <c r="C37" s="6" t="s">
        <v>151</v>
      </c>
      <c r="D37" s="7" t="s">
        <v>11</v>
      </c>
      <c r="E37" s="6" t="str">
        <f>IFERROR(IF(INDEX('Thông tin'!$C$7:$C$9,MATCH(D37,'Thông tin'!$B$7:$B$9,0))="","",INDEX('Thông tin'!$C$7:$C$9,MATCH(D37,'Thông tin'!$B$7:$B$9,0))),"")</f>
        <v>Trần Quốc Anh Hoàng</v>
      </c>
      <c r="F37" s="7" t="s">
        <v>7</v>
      </c>
      <c r="G37" s="8">
        <v>46342</v>
      </c>
      <c r="H37" s="8">
        <v>46383</v>
      </c>
      <c r="I37" s="17">
        <f t="shared" ref="I37:I53" si="5">H37-G37+1</f>
        <v>42</v>
      </c>
      <c r="J37" s="7">
        <v>22</v>
      </c>
      <c r="K37" s="7" t="s">
        <v>117</v>
      </c>
      <c r="L37" s="6" t="s">
        <v>60</v>
      </c>
      <c r="M37" s="15" t="str">
        <f t="shared" si="4"/>
        <v/>
      </c>
      <c r="N37" s="15" t="str">
        <f t="shared" si="4"/>
        <v/>
      </c>
      <c r="O37" s="15" t="str">
        <f t="shared" si="4"/>
        <v/>
      </c>
      <c r="P37" s="15" t="str">
        <f t="shared" si="4"/>
        <v/>
      </c>
      <c r="Q37" s="15" t="str">
        <f t="shared" si="4"/>
        <v/>
      </c>
      <c r="R37" s="15">
        <f t="shared" si="4"/>
        <v>1</v>
      </c>
      <c r="S37" s="15">
        <f t="shared" si="4"/>
        <v>1</v>
      </c>
      <c r="T37" s="15">
        <f t="shared" si="4"/>
        <v>1</v>
      </c>
      <c r="U37" s="15">
        <f t="shared" si="4"/>
        <v>1</v>
      </c>
      <c r="V37" s="15">
        <f t="shared" si="4"/>
        <v>1</v>
      </c>
      <c r="W37" s="15">
        <f t="shared" si="4"/>
        <v>1</v>
      </c>
      <c r="X37" s="15" t="str">
        <f t="shared" si="4"/>
        <v/>
      </c>
      <c r="Y37" s="15" t="str">
        <f t="shared" si="4"/>
        <v/>
      </c>
      <c r="Z37" s="15" t="str">
        <f t="shared" si="4"/>
        <v/>
      </c>
    </row>
    <row r="38" spans="1:26" x14ac:dyDescent="0.3">
      <c r="A38" s="16" t="s">
        <v>152</v>
      </c>
      <c r="B38" s="6" t="s">
        <v>153</v>
      </c>
      <c r="C38" s="6" t="s">
        <v>154</v>
      </c>
      <c r="D38" s="7" t="s">
        <v>14</v>
      </c>
      <c r="E38" s="6" t="str">
        <f>IFERROR(IF(INDEX('Thông tin'!$C$7:$C$9,MATCH(D38,'Thông tin'!$B$7:$B$9,0))="","",INDEX('Thông tin'!$C$7:$C$9,MATCH(D38,'Thông tin'!$B$7:$B$9,0))),"")</f>
        <v>Nguyễn Văn Thu</v>
      </c>
      <c r="F38" s="7" t="s">
        <v>11</v>
      </c>
      <c r="G38" s="8">
        <v>46370</v>
      </c>
      <c r="H38" s="8">
        <v>46383</v>
      </c>
      <c r="I38" s="17">
        <f t="shared" si="5"/>
        <v>14</v>
      </c>
      <c r="J38" s="7">
        <v>10</v>
      </c>
      <c r="K38" s="7" t="s">
        <v>129</v>
      </c>
      <c r="L38" s="6" t="s">
        <v>60</v>
      </c>
      <c r="M38" s="15" t="str">
        <f t="shared" si="4"/>
        <v/>
      </c>
      <c r="N38" s="15" t="str">
        <f t="shared" si="4"/>
        <v/>
      </c>
      <c r="O38" s="15" t="str">
        <f t="shared" si="4"/>
        <v/>
      </c>
      <c r="P38" s="15" t="str">
        <f t="shared" si="4"/>
        <v/>
      </c>
      <c r="Q38" s="15" t="str">
        <f t="shared" si="4"/>
        <v/>
      </c>
      <c r="R38" s="15" t="str">
        <f t="shared" si="4"/>
        <v/>
      </c>
      <c r="S38" s="15" t="str">
        <f t="shared" si="4"/>
        <v/>
      </c>
      <c r="T38" s="15" t="str">
        <f t="shared" si="4"/>
        <v/>
      </c>
      <c r="U38" s="15" t="str">
        <f t="shared" si="4"/>
        <v/>
      </c>
      <c r="V38" s="15">
        <f t="shared" si="4"/>
        <v>1</v>
      </c>
      <c r="W38" s="15">
        <f t="shared" si="4"/>
        <v>1</v>
      </c>
      <c r="X38" s="15" t="str">
        <f t="shared" si="4"/>
        <v/>
      </c>
      <c r="Y38" s="15" t="str">
        <f t="shared" si="4"/>
        <v/>
      </c>
      <c r="Z38" s="15" t="str">
        <f t="shared" si="4"/>
        <v/>
      </c>
    </row>
    <row r="39" spans="1:26" x14ac:dyDescent="0.3">
      <c r="A39" s="16" t="s">
        <v>155</v>
      </c>
      <c r="B39" s="6" t="s">
        <v>156</v>
      </c>
      <c r="C39" s="6" t="s">
        <v>157</v>
      </c>
      <c r="D39" s="7" t="s">
        <v>14</v>
      </c>
      <c r="E39" s="6" t="str">
        <f>IFERROR(IF(INDEX('Thông tin'!$C$7:$C$9,MATCH(D39,'Thông tin'!$B$7:$B$9,0))="","",INDEX('Thông tin'!$C$7:$C$9,MATCH(D39,'Thông tin'!$B$7:$B$9,0))),"")</f>
        <v>Nguyễn Văn Thu</v>
      </c>
      <c r="F39" s="7"/>
      <c r="G39" s="8">
        <v>46377</v>
      </c>
      <c r="H39" s="8">
        <v>46383</v>
      </c>
      <c r="I39" s="17">
        <f t="shared" si="5"/>
        <v>7</v>
      </c>
      <c r="J39" s="7">
        <v>6</v>
      </c>
      <c r="K39" s="7" t="s">
        <v>117</v>
      </c>
      <c r="L39" s="6" t="s">
        <v>60</v>
      </c>
      <c r="M39" s="15" t="str">
        <f t="shared" si="4"/>
        <v/>
      </c>
      <c r="N39" s="15" t="str">
        <f t="shared" si="4"/>
        <v/>
      </c>
      <c r="O39" s="15" t="str">
        <f t="shared" si="4"/>
        <v/>
      </c>
      <c r="P39" s="15" t="str">
        <f t="shared" si="4"/>
        <v/>
      </c>
      <c r="Q39" s="15" t="str">
        <f t="shared" si="4"/>
        <v/>
      </c>
      <c r="R39" s="15" t="str">
        <f t="shared" si="4"/>
        <v/>
      </c>
      <c r="S39" s="15" t="str">
        <f t="shared" si="4"/>
        <v/>
      </c>
      <c r="T39" s="15" t="str">
        <f t="shared" si="4"/>
        <v/>
      </c>
      <c r="U39" s="15" t="str">
        <f t="shared" si="4"/>
        <v/>
      </c>
      <c r="V39" s="15" t="str">
        <f t="shared" si="4"/>
        <v/>
      </c>
      <c r="W39" s="15">
        <f t="shared" si="4"/>
        <v>1</v>
      </c>
      <c r="X39" s="15" t="str">
        <f t="shared" si="4"/>
        <v/>
      </c>
      <c r="Y39" s="15" t="str">
        <f t="shared" si="4"/>
        <v/>
      </c>
      <c r="Z39" s="15" t="str">
        <f t="shared" si="4"/>
        <v/>
      </c>
    </row>
    <row r="40" spans="1:26" x14ac:dyDescent="0.3">
      <c r="A40" s="16" t="s">
        <v>158</v>
      </c>
      <c r="B40" s="6" t="s">
        <v>159</v>
      </c>
      <c r="C40" s="6" t="s">
        <v>160</v>
      </c>
      <c r="D40" s="7" t="s">
        <v>7</v>
      </c>
      <c r="E40" s="6" t="str">
        <f>IFERROR(IF(INDEX('Thông tin'!$C$7:$C$9,MATCH(D40,'Thông tin'!$B$7:$B$9,0))="","",INDEX('Thông tin'!$C$7:$C$9,MATCH(D40,'Thông tin'!$B$7:$B$9,0))),"")</f>
        <v>Phạm Ngọc Trung</v>
      </c>
      <c r="F40" s="7" t="s">
        <v>52</v>
      </c>
      <c r="G40" s="8">
        <v>46349</v>
      </c>
      <c r="H40" s="8">
        <v>46355</v>
      </c>
      <c r="I40" s="17">
        <f t="shared" si="5"/>
        <v>7</v>
      </c>
      <c r="J40" s="7">
        <v>6</v>
      </c>
      <c r="K40" s="7" t="s">
        <v>161</v>
      </c>
      <c r="L40" s="6" t="s">
        <v>60</v>
      </c>
      <c r="M40" s="15" t="str">
        <f t="shared" si="4"/>
        <v/>
      </c>
      <c r="N40" s="15" t="str">
        <f t="shared" si="4"/>
        <v/>
      </c>
      <c r="O40" s="15" t="str">
        <f t="shared" si="4"/>
        <v/>
      </c>
      <c r="P40" s="15" t="str">
        <f t="shared" si="4"/>
        <v/>
      </c>
      <c r="Q40" s="15" t="str">
        <f t="shared" si="4"/>
        <v/>
      </c>
      <c r="R40" s="15" t="str">
        <f t="shared" si="4"/>
        <v/>
      </c>
      <c r="S40" s="15">
        <f t="shared" si="4"/>
        <v>1</v>
      </c>
      <c r="T40" s="15" t="str">
        <f t="shared" si="4"/>
        <v/>
      </c>
      <c r="U40" s="15" t="str">
        <f t="shared" si="4"/>
        <v/>
      </c>
      <c r="V40" s="15" t="str">
        <f t="shared" si="4"/>
        <v/>
      </c>
      <c r="W40" s="15" t="str">
        <f t="shared" si="4"/>
        <v/>
      </c>
      <c r="X40" s="15" t="str">
        <f t="shared" si="4"/>
        <v/>
      </c>
      <c r="Y40" s="15" t="str">
        <f t="shared" si="4"/>
        <v/>
      </c>
      <c r="Z40" s="15" t="str">
        <f t="shared" si="4"/>
        <v/>
      </c>
    </row>
    <row r="41" spans="1:26" x14ac:dyDescent="0.3">
      <c r="A41" s="11" t="s">
        <v>162</v>
      </c>
      <c r="B41" s="12" t="s">
        <v>163</v>
      </c>
      <c r="C41" s="12"/>
      <c r="D41" s="12"/>
      <c r="E41" s="12"/>
      <c r="F41" s="12"/>
      <c r="G41" s="13">
        <f>MIN(G42:G46)</f>
        <v>46342</v>
      </c>
      <c r="H41" s="13">
        <f>MAX(H42:H46)</f>
        <v>46397</v>
      </c>
      <c r="I41" s="14">
        <f t="shared" si="5"/>
        <v>56</v>
      </c>
      <c r="J41" s="11">
        <f>SUM(J42:J46)</f>
        <v>52</v>
      </c>
      <c r="K41" s="12"/>
      <c r="L41" s="12"/>
      <c r="M41" s="15" t="str">
        <f t="shared" si="4"/>
        <v/>
      </c>
      <c r="N41" s="15" t="str">
        <f t="shared" si="4"/>
        <v/>
      </c>
      <c r="O41" s="15" t="str">
        <f t="shared" si="4"/>
        <v/>
      </c>
      <c r="P41" s="15" t="str">
        <f t="shared" si="4"/>
        <v/>
      </c>
      <c r="Q41" s="15" t="str">
        <f t="shared" si="4"/>
        <v/>
      </c>
      <c r="R41" s="15">
        <f t="shared" si="4"/>
        <v>1</v>
      </c>
      <c r="S41" s="15">
        <f t="shared" si="4"/>
        <v>1</v>
      </c>
      <c r="T41" s="15">
        <f t="shared" si="4"/>
        <v>1</v>
      </c>
      <c r="U41" s="15">
        <f t="shared" si="4"/>
        <v>1</v>
      </c>
      <c r="V41" s="15">
        <f t="shared" si="4"/>
        <v>1</v>
      </c>
      <c r="W41" s="15">
        <f t="shared" si="4"/>
        <v>1</v>
      </c>
      <c r="X41" s="15">
        <f t="shared" si="4"/>
        <v>1</v>
      </c>
      <c r="Y41" s="15">
        <f t="shared" si="4"/>
        <v>1</v>
      </c>
      <c r="Z41" s="15" t="str">
        <f t="shared" si="4"/>
        <v/>
      </c>
    </row>
    <row r="42" spans="1:26" x14ac:dyDescent="0.3">
      <c r="A42" s="16" t="s">
        <v>164</v>
      </c>
      <c r="B42" s="6" t="s">
        <v>165</v>
      </c>
      <c r="C42" s="6" t="s">
        <v>166</v>
      </c>
      <c r="D42" s="7" t="s">
        <v>14</v>
      </c>
      <c r="E42" s="6" t="str">
        <f>IFERROR(IF(INDEX('Thông tin'!$C$7:$C$9,MATCH(D42,'Thông tin'!$B$7:$B$9,0))="","",INDEX('Thông tin'!$C$7:$C$9,MATCH(D42,'Thông tin'!$B$7:$B$9,0))),"")</f>
        <v>Nguyễn Văn Thu</v>
      </c>
      <c r="F42" s="7"/>
      <c r="G42" s="8">
        <v>46342</v>
      </c>
      <c r="H42" s="8">
        <v>46355</v>
      </c>
      <c r="I42" s="17">
        <f t="shared" si="5"/>
        <v>14</v>
      </c>
      <c r="J42" s="7">
        <v>10</v>
      </c>
      <c r="K42" s="7" t="s">
        <v>83</v>
      </c>
      <c r="L42" s="6" t="s">
        <v>60</v>
      </c>
      <c r="M42" s="15" t="str">
        <f t="shared" si="4"/>
        <v/>
      </c>
      <c r="N42" s="15" t="str">
        <f t="shared" si="4"/>
        <v/>
      </c>
      <c r="O42" s="15" t="str">
        <f t="shared" si="4"/>
        <v/>
      </c>
      <c r="P42" s="15" t="str">
        <f t="shared" si="4"/>
        <v/>
      </c>
      <c r="Q42" s="15" t="str">
        <f t="shared" si="4"/>
        <v/>
      </c>
      <c r="R42" s="15">
        <f t="shared" si="4"/>
        <v>1</v>
      </c>
      <c r="S42" s="15">
        <f t="shared" si="4"/>
        <v>1</v>
      </c>
      <c r="T42" s="15" t="str">
        <f t="shared" si="4"/>
        <v/>
      </c>
      <c r="U42" s="15" t="str">
        <f t="shared" si="4"/>
        <v/>
      </c>
      <c r="V42" s="15" t="str">
        <f t="shared" si="4"/>
        <v/>
      </c>
      <c r="W42" s="15" t="str">
        <f t="shared" si="4"/>
        <v/>
      </c>
      <c r="X42" s="15" t="str">
        <f t="shared" si="4"/>
        <v/>
      </c>
      <c r="Y42" s="15" t="str">
        <f t="shared" si="4"/>
        <v/>
      </c>
      <c r="Z42" s="15" t="str">
        <f t="shared" si="4"/>
        <v/>
      </c>
    </row>
    <row r="43" spans="1:26" x14ac:dyDescent="0.3">
      <c r="A43" s="16" t="s">
        <v>167</v>
      </c>
      <c r="B43" s="6" t="s">
        <v>168</v>
      </c>
      <c r="C43" s="6" t="s">
        <v>169</v>
      </c>
      <c r="D43" s="7" t="s">
        <v>7</v>
      </c>
      <c r="E43" s="6" t="str">
        <f>IFERROR(IF(INDEX('Thông tin'!$C$7:$C$9,MATCH(D43,'Thông tin'!$B$7:$B$9,0))="","",INDEX('Thông tin'!$C$7:$C$9,MATCH(D43,'Thông tin'!$B$7:$B$9,0))),"")</f>
        <v>Phạm Ngọc Trung</v>
      </c>
      <c r="F43" s="7" t="s">
        <v>14</v>
      </c>
      <c r="G43" s="8">
        <v>46342</v>
      </c>
      <c r="H43" s="8">
        <v>46390</v>
      </c>
      <c r="I43" s="17">
        <f t="shared" si="5"/>
        <v>49</v>
      </c>
      <c r="J43" s="7">
        <v>14</v>
      </c>
      <c r="K43" s="7" t="s">
        <v>113</v>
      </c>
      <c r="L43" s="6" t="s">
        <v>60</v>
      </c>
      <c r="M43" s="15" t="str">
        <f t="shared" si="4"/>
        <v/>
      </c>
      <c r="N43" s="15" t="str">
        <f t="shared" si="4"/>
        <v/>
      </c>
      <c r="O43" s="15" t="str">
        <f t="shared" si="4"/>
        <v/>
      </c>
      <c r="P43" s="15" t="str">
        <f t="shared" si="4"/>
        <v/>
      </c>
      <c r="Q43" s="15" t="str">
        <f t="shared" si="4"/>
        <v/>
      </c>
      <c r="R43" s="15">
        <f t="shared" si="4"/>
        <v>1</v>
      </c>
      <c r="S43" s="15">
        <f t="shared" si="4"/>
        <v>1</v>
      </c>
      <c r="T43" s="15">
        <f t="shared" si="4"/>
        <v>1</v>
      </c>
      <c r="U43" s="15">
        <f t="shared" si="4"/>
        <v>1</v>
      </c>
      <c r="V43" s="15">
        <f t="shared" si="4"/>
        <v>1</v>
      </c>
      <c r="W43" s="15">
        <f t="shared" si="4"/>
        <v>1</v>
      </c>
      <c r="X43" s="15">
        <f t="shared" si="4"/>
        <v>1</v>
      </c>
      <c r="Y43" s="15" t="str">
        <f t="shared" si="4"/>
        <v/>
      </c>
      <c r="Z43" s="15" t="str">
        <f t="shared" si="4"/>
        <v/>
      </c>
    </row>
    <row r="44" spans="1:26" x14ac:dyDescent="0.3">
      <c r="A44" s="16" t="s">
        <v>170</v>
      </c>
      <c r="B44" s="6" t="s">
        <v>171</v>
      </c>
      <c r="C44" s="6" t="s">
        <v>172</v>
      </c>
      <c r="D44" s="7" t="s">
        <v>14</v>
      </c>
      <c r="E44" s="6" t="str">
        <f>IFERROR(IF(INDEX('Thông tin'!$C$7:$C$9,MATCH(D44,'Thông tin'!$B$7:$B$9,0))="","",INDEX('Thông tin'!$C$7:$C$9,MATCH(D44,'Thông tin'!$B$7:$B$9,0))),"")</f>
        <v>Nguyễn Văn Thu</v>
      </c>
      <c r="F44" s="7" t="s">
        <v>7</v>
      </c>
      <c r="G44" s="8">
        <v>46356</v>
      </c>
      <c r="H44" s="8">
        <v>46369</v>
      </c>
      <c r="I44" s="17">
        <f t="shared" si="5"/>
        <v>14</v>
      </c>
      <c r="J44" s="7">
        <v>8</v>
      </c>
      <c r="K44" s="7" t="s">
        <v>132</v>
      </c>
      <c r="L44" s="6" t="s">
        <v>60</v>
      </c>
      <c r="M44" s="15" t="str">
        <f t="shared" si="4"/>
        <v/>
      </c>
      <c r="N44" s="15" t="str">
        <f t="shared" si="4"/>
        <v/>
      </c>
      <c r="O44" s="15" t="str">
        <f t="shared" si="4"/>
        <v/>
      </c>
      <c r="P44" s="15" t="str">
        <f t="shared" si="4"/>
        <v/>
      </c>
      <c r="Q44" s="15" t="str">
        <f t="shared" si="4"/>
        <v/>
      </c>
      <c r="R44" s="15" t="str">
        <f t="shared" si="4"/>
        <v/>
      </c>
      <c r="S44" s="15" t="str">
        <f t="shared" si="4"/>
        <v/>
      </c>
      <c r="T44" s="15">
        <f t="shared" si="4"/>
        <v>1</v>
      </c>
      <c r="U44" s="15">
        <f t="shared" si="4"/>
        <v>1</v>
      </c>
      <c r="V44" s="15" t="str">
        <f t="shared" si="4"/>
        <v/>
      </c>
      <c r="W44" s="15" t="str">
        <f t="shared" si="4"/>
        <v/>
      </c>
      <c r="X44" s="15" t="str">
        <f t="shared" si="4"/>
        <v/>
      </c>
      <c r="Y44" s="15" t="str">
        <f t="shared" si="4"/>
        <v/>
      </c>
      <c r="Z44" s="15" t="str">
        <f t="shared" si="4"/>
        <v/>
      </c>
    </row>
    <row r="45" spans="1:26" x14ac:dyDescent="0.3">
      <c r="A45" s="16" t="s">
        <v>173</v>
      </c>
      <c r="B45" s="6" t="s">
        <v>174</v>
      </c>
      <c r="C45" s="6" t="s">
        <v>175</v>
      </c>
      <c r="D45" s="7" t="s">
        <v>14</v>
      </c>
      <c r="E45" s="6" t="str">
        <f>IFERROR(IF(INDEX('Thông tin'!$C$7:$C$9,MATCH(D45,'Thông tin'!$B$7:$B$9,0))="","",INDEX('Thông tin'!$C$7:$C$9,MATCH(D45,'Thông tin'!$B$7:$B$9,0))),"")</f>
        <v>Nguyễn Văn Thu</v>
      </c>
      <c r="F45" s="7" t="s">
        <v>7</v>
      </c>
      <c r="G45" s="8">
        <v>46384</v>
      </c>
      <c r="H45" s="8">
        <v>46390</v>
      </c>
      <c r="I45" s="17">
        <f t="shared" si="5"/>
        <v>7</v>
      </c>
      <c r="J45" s="7">
        <v>10</v>
      </c>
      <c r="K45" s="7" t="s">
        <v>176</v>
      </c>
      <c r="L45" s="6" t="s">
        <v>60</v>
      </c>
      <c r="M45" s="15" t="str">
        <f t="shared" ref="M45:Z53" si="6">IF(AND($G45&lt;=M$3,$H45&gt;=M$2),1,"")</f>
        <v/>
      </c>
      <c r="N45" s="15" t="str">
        <f t="shared" si="6"/>
        <v/>
      </c>
      <c r="O45" s="15" t="str">
        <f t="shared" si="6"/>
        <v/>
      </c>
      <c r="P45" s="15" t="str">
        <f t="shared" si="6"/>
        <v/>
      </c>
      <c r="Q45" s="15" t="str">
        <f t="shared" si="6"/>
        <v/>
      </c>
      <c r="R45" s="15" t="str">
        <f t="shared" si="6"/>
        <v/>
      </c>
      <c r="S45" s="15" t="str">
        <f t="shared" si="6"/>
        <v/>
      </c>
      <c r="T45" s="15" t="str">
        <f t="shared" si="6"/>
        <v/>
      </c>
      <c r="U45" s="15" t="str">
        <f t="shared" si="6"/>
        <v/>
      </c>
      <c r="V45" s="15" t="str">
        <f t="shared" si="6"/>
        <v/>
      </c>
      <c r="W45" s="15" t="str">
        <f t="shared" si="6"/>
        <v/>
      </c>
      <c r="X45" s="15">
        <f t="shared" si="6"/>
        <v>1</v>
      </c>
      <c r="Y45" s="15" t="str">
        <f t="shared" si="6"/>
        <v/>
      </c>
      <c r="Z45" s="15" t="str">
        <f t="shared" si="6"/>
        <v/>
      </c>
    </row>
    <row r="46" spans="1:26" x14ac:dyDescent="0.3">
      <c r="A46" s="16" t="s">
        <v>177</v>
      </c>
      <c r="B46" s="6" t="s">
        <v>178</v>
      </c>
      <c r="C46" s="6" t="s">
        <v>179</v>
      </c>
      <c r="D46" s="7" t="s">
        <v>14</v>
      </c>
      <c r="E46" s="6" t="str">
        <f>IFERROR(IF(INDEX('Thông tin'!$C$7:$C$9,MATCH(D46,'Thông tin'!$B$7:$B$9,0))="","",INDEX('Thông tin'!$C$7:$C$9,MATCH(D46,'Thông tin'!$B$7:$B$9,0))),"")</f>
        <v>Nguyễn Văn Thu</v>
      </c>
      <c r="F46" s="7" t="s">
        <v>76</v>
      </c>
      <c r="G46" s="8">
        <v>46391</v>
      </c>
      <c r="H46" s="8">
        <v>46397</v>
      </c>
      <c r="I46" s="17">
        <f t="shared" si="5"/>
        <v>7</v>
      </c>
      <c r="J46" s="7">
        <v>10</v>
      </c>
      <c r="K46" s="7" t="s">
        <v>173</v>
      </c>
      <c r="L46" s="6" t="s">
        <v>60</v>
      </c>
      <c r="M46" s="15" t="str">
        <f t="shared" si="6"/>
        <v/>
      </c>
      <c r="N46" s="15" t="str">
        <f t="shared" si="6"/>
        <v/>
      </c>
      <c r="O46" s="15" t="str">
        <f t="shared" si="6"/>
        <v/>
      </c>
      <c r="P46" s="15" t="str">
        <f t="shared" si="6"/>
        <v/>
      </c>
      <c r="Q46" s="15" t="str">
        <f t="shared" si="6"/>
        <v/>
      </c>
      <c r="R46" s="15" t="str">
        <f t="shared" si="6"/>
        <v/>
      </c>
      <c r="S46" s="15" t="str">
        <f t="shared" si="6"/>
        <v/>
      </c>
      <c r="T46" s="15" t="str">
        <f t="shared" si="6"/>
        <v/>
      </c>
      <c r="U46" s="15" t="str">
        <f t="shared" si="6"/>
        <v/>
      </c>
      <c r="V46" s="15" t="str">
        <f t="shared" si="6"/>
        <v/>
      </c>
      <c r="W46" s="15" t="str">
        <f t="shared" si="6"/>
        <v/>
      </c>
      <c r="X46" s="15" t="str">
        <f t="shared" si="6"/>
        <v/>
      </c>
      <c r="Y46" s="15">
        <f t="shared" si="6"/>
        <v>1</v>
      </c>
      <c r="Z46" s="15" t="str">
        <f t="shared" si="6"/>
        <v/>
      </c>
    </row>
    <row r="47" spans="1:26" x14ac:dyDescent="0.3">
      <c r="A47" s="11" t="s">
        <v>180</v>
      </c>
      <c r="B47" s="12" t="s">
        <v>181</v>
      </c>
      <c r="C47" s="12"/>
      <c r="D47" s="12"/>
      <c r="E47" s="12"/>
      <c r="F47" s="12"/>
      <c r="G47" s="13">
        <f>MIN(G48:G53)</f>
        <v>46349</v>
      </c>
      <c r="H47" s="13">
        <f>MAX(H48:H53)</f>
        <v>46404</v>
      </c>
      <c r="I47" s="14">
        <f t="shared" si="5"/>
        <v>56</v>
      </c>
      <c r="J47" s="11">
        <f>SUM(J48:J53)</f>
        <v>39</v>
      </c>
      <c r="K47" s="12"/>
      <c r="L47" s="12"/>
      <c r="M47" s="15" t="str">
        <f t="shared" si="6"/>
        <v/>
      </c>
      <c r="N47" s="15" t="str">
        <f t="shared" si="6"/>
        <v/>
      </c>
      <c r="O47" s="15" t="str">
        <f t="shared" si="6"/>
        <v/>
      </c>
      <c r="P47" s="15" t="str">
        <f t="shared" si="6"/>
        <v/>
      </c>
      <c r="Q47" s="15" t="str">
        <f t="shared" si="6"/>
        <v/>
      </c>
      <c r="R47" s="15" t="str">
        <f t="shared" si="6"/>
        <v/>
      </c>
      <c r="S47" s="15">
        <f t="shared" si="6"/>
        <v>1</v>
      </c>
      <c r="T47" s="15">
        <f t="shared" si="6"/>
        <v>1</v>
      </c>
      <c r="U47" s="15">
        <f t="shared" si="6"/>
        <v>1</v>
      </c>
      <c r="V47" s="15">
        <f t="shared" si="6"/>
        <v>1</v>
      </c>
      <c r="W47" s="15">
        <f t="shared" si="6"/>
        <v>1</v>
      </c>
      <c r="X47" s="15">
        <f t="shared" si="6"/>
        <v>1</v>
      </c>
      <c r="Y47" s="15">
        <f t="shared" si="6"/>
        <v>1</v>
      </c>
      <c r="Z47" s="15">
        <f t="shared" si="6"/>
        <v>1</v>
      </c>
    </row>
    <row r="48" spans="1:26" x14ac:dyDescent="0.3">
      <c r="A48" s="16" t="s">
        <v>182</v>
      </c>
      <c r="B48" s="6" t="s">
        <v>183</v>
      </c>
      <c r="C48" s="6" t="s">
        <v>184</v>
      </c>
      <c r="D48" s="7" t="s">
        <v>11</v>
      </c>
      <c r="E48" s="6" t="str">
        <f>IFERROR(IF(INDEX('Thông tin'!$C$7:$C$9,MATCH(D48,'Thông tin'!$B$7:$B$9,0))="","",INDEX('Thông tin'!$C$7:$C$9,MATCH(D48,'Thông tin'!$B$7:$B$9,0))),"")</f>
        <v>Trần Quốc Anh Hoàng</v>
      </c>
      <c r="F48" s="7" t="s">
        <v>7</v>
      </c>
      <c r="G48" s="8">
        <v>46349</v>
      </c>
      <c r="H48" s="8">
        <v>46355</v>
      </c>
      <c r="I48" s="17">
        <f t="shared" si="5"/>
        <v>7</v>
      </c>
      <c r="J48" s="7">
        <v>6</v>
      </c>
      <c r="K48" s="7" t="s">
        <v>113</v>
      </c>
      <c r="L48" s="6" t="s">
        <v>60</v>
      </c>
      <c r="M48" s="15" t="str">
        <f t="shared" si="6"/>
        <v/>
      </c>
      <c r="N48" s="15" t="str">
        <f t="shared" si="6"/>
        <v/>
      </c>
      <c r="O48" s="15" t="str">
        <f t="shared" si="6"/>
        <v/>
      </c>
      <c r="P48" s="15" t="str">
        <f t="shared" si="6"/>
        <v/>
      </c>
      <c r="Q48" s="15" t="str">
        <f t="shared" si="6"/>
        <v/>
      </c>
      <c r="R48" s="15" t="str">
        <f t="shared" si="6"/>
        <v/>
      </c>
      <c r="S48" s="15">
        <f t="shared" si="6"/>
        <v>1</v>
      </c>
      <c r="T48" s="15" t="str">
        <f t="shared" si="6"/>
        <v/>
      </c>
      <c r="U48" s="15" t="str">
        <f t="shared" si="6"/>
        <v/>
      </c>
      <c r="V48" s="15" t="str">
        <f t="shared" si="6"/>
        <v/>
      </c>
      <c r="W48" s="15" t="str">
        <f t="shared" si="6"/>
        <v/>
      </c>
      <c r="X48" s="15" t="str">
        <f t="shared" si="6"/>
        <v/>
      </c>
      <c r="Y48" s="15" t="str">
        <f t="shared" si="6"/>
        <v/>
      </c>
      <c r="Z48" s="15" t="str">
        <f t="shared" si="6"/>
        <v/>
      </c>
    </row>
    <row r="49" spans="1:26" x14ac:dyDescent="0.3">
      <c r="A49" s="16" t="s">
        <v>185</v>
      </c>
      <c r="B49" s="6" t="s">
        <v>186</v>
      </c>
      <c r="C49" s="6" t="s">
        <v>187</v>
      </c>
      <c r="D49" s="7" t="s">
        <v>7</v>
      </c>
      <c r="E49" s="6" t="str">
        <f>IFERROR(IF(INDEX('Thông tin'!$C$7:$C$9,MATCH(D49,'Thông tin'!$B$7:$B$9,0))="","",INDEX('Thông tin'!$C$7:$C$9,MATCH(D49,'Thông tin'!$B$7:$B$9,0))),"")</f>
        <v>Phạm Ngọc Trung</v>
      </c>
      <c r="F49" s="7"/>
      <c r="G49" s="8">
        <v>46391</v>
      </c>
      <c r="H49" s="8">
        <v>46397</v>
      </c>
      <c r="I49" s="17">
        <f t="shared" si="5"/>
        <v>7</v>
      </c>
      <c r="J49" s="7">
        <v>5</v>
      </c>
      <c r="K49" s="7" t="s">
        <v>173</v>
      </c>
      <c r="L49" s="6" t="s">
        <v>60</v>
      </c>
      <c r="M49" s="15" t="str">
        <f t="shared" si="6"/>
        <v/>
      </c>
      <c r="N49" s="15" t="str">
        <f t="shared" si="6"/>
        <v/>
      </c>
      <c r="O49" s="15" t="str">
        <f t="shared" si="6"/>
        <v/>
      </c>
      <c r="P49" s="15" t="str">
        <f t="shared" si="6"/>
        <v/>
      </c>
      <c r="Q49" s="15" t="str">
        <f t="shared" si="6"/>
        <v/>
      </c>
      <c r="R49" s="15" t="str">
        <f t="shared" si="6"/>
        <v/>
      </c>
      <c r="S49" s="15" t="str">
        <f t="shared" si="6"/>
        <v/>
      </c>
      <c r="T49" s="15" t="str">
        <f t="shared" si="6"/>
        <v/>
      </c>
      <c r="U49" s="15" t="str">
        <f t="shared" si="6"/>
        <v/>
      </c>
      <c r="V49" s="15" t="str">
        <f t="shared" si="6"/>
        <v/>
      </c>
      <c r="W49" s="15" t="str">
        <f t="shared" si="6"/>
        <v/>
      </c>
      <c r="X49" s="15" t="str">
        <f t="shared" si="6"/>
        <v/>
      </c>
      <c r="Y49" s="15">
        <f t="shared" si="6"/>
        <v>1</v>
      </c>
      <c r="Z49" s="15" t="str">
        <f t="shared" si="6"/>
        <v/>
      </c>
    </row>
    <row r="50" spans="1:26" x14ac:dyDescent="0.3">
      <c r="A50" s="16" t="s">
        <v>188</v>
      </c>
      <c r="B50" s="6" t="s">
        <v>189</v>
      </c>
      <c r="C50" s="6" t="s">
        <v>190</v>
      </c>
      <c r="D50" s="7" t="s">
        <v>11</v>
      </c>
      <c r="E50" s="6" t="str">
        <f>IFERROR(IF(INDEX('Thông tin'!$C$7:$C$9,MATCH(D50,'Thông tin'!$B$7:$B$9,0))="","",INDEX('Thông tin'!$C$7:$C$9,MATCH(D50,'Thông tin'!$B$7:$B$9,0))),"")</f>
        <v>Trần Quốc Anh Hoàng</v>
      </c>
      <c r="F50" s="7" t="s">
        <v>14</v>
      </c>
      <c r="G50" s="8">
        <v>46391</v>
      </c>
      <c r="H50" s="8">
        <v>46397</v>
      </c>
      <c r="I50" s="17">
        <f t="shared" si="5"/>
        <v>7</v>
      </c>
      <c r="J50" s="7">
        <v>8</v>
      </c>
      <c r="K50" s="7" t="s">
        <v>173</v>
      </c>
      <c r="L50" s="6" t="s">
        <v>60</v>
      </c>
      <c r="M50" s="15" t="str">
        <f t="shared" si="6"/>
        <v/>
      </c>
      <c r="N50" s="15" t="str">
        <f t="shared" si="6"/>
        <v/>
      </c>
      <c r="O50" s="15" t="str">
        <f t="shared" si="6"/>
        <v/>
      </c>
      <c r="P50" s="15" t="str">
        <f t="shared" si="6"/>
        <v/>
      </c>
      <c r="Q50" s="15" t="str">
        <f t="shared" si="6"/>
        <v/>
      </c>
      <c r="R50" s="15" t="str">
        <f t="shared" si="6"/>
        <v/>
      </c>
      <c r="S50" s="15" t="str">
        <f t="shared" si="6"/>
        <v/>
      </c>
      <c r="T50" s="15" t="str">
        <f t="shared" si="6"/>
        <v/>
      </c>
      <c r="U50" s="15" t="str">
        <f t="shared" si="6"/>
        <v/>
      </c>
      <c r="V50" s="15" t="str">
        <f t="shared" si="6"/>
        <v/>
      </c>
      <c r="W50" s="15" t="str">
        <f t="shared" si="6"/>
        <v/>
      </c>
      <c r="X50" s="15" t="str">
        <f t="shared" si="6"/>
        <v/>
      </c>
      <c r="Y50" s="15">
        <f t="shared" si="6"/>
        <v>1</v>
      </c>
      <c r="Z50" s="15" t="str">
        <f t="shared" si="6"/>
        <v/>
      </c>
    </row>
    <row r="51" spans="1:26" x14ac:dyDescent="0.3">
      <c r="A51" s="16" t="s">
        <v>191</v>
      </c>
      <c r="B51" s="6" t="s">
        <v>192</v>
      </c>
      <c r="C51" s="6" t="s">
        <v>193</v>
      </c>
      <c r="D51" s="7" t="s">
        <v>14</v>
      </c>
      <c r="E51" s="6" t="str">
        <f>IFERROR(IF(INDEX('Thông tin'!$C$7:$C$9,MATCH(D51,'Thông tin'!$B$7:$B$9,0))="","",INDEX('Thông tin'!$C$7:$C$9,MATCH(D51,'Thông tin'!$B$7:$B$9,0))),"")</f>
        <v>Nguyễn Văn Thu</v>
      </c>
      <c r="F51" s="7" t="s">
        <v>7</v>
      </c>
      <c r="G51" s="8">
        <v>46391</v>
      </c>
      <c r="H51" s="8">
        <v>46401</v>
      </c>
      <c r="I51" s="17">
        <f t="shared" si="5"/>
        <v>11</v>
      </c>
      <c r="J51" s="7">
        <v>8</v>
      </c>
      <c r="K51" s="7" t="s">
        <v>177</v>
      </c>
      <c r="L51" s="6" t="s">
        <v>60</v>
      </c>
      <c r="M51" s="15" t="str">
        <f t="shared" si="6"/>
        <v/>
      </c>
      <c r="N51" s="15" t="str">
        <f t="shared" si="6"/>
        <v/>
      </c>
      <c r="O51" s="15" t="str">
        <f t="shared" si="6"/>
        <v/>
      </c>
      <c r="P51" s="15" t="str">
        <f t="shared" si="6"/>
        <v/>
      </c>
      <c r="Q51" s="15" t="str">
        <f t="shared" si="6"/>
        <v/>
      </c>
      <c r="R51" s="15" t="str">
        <f t="shared" si="6"/>
        <v/>
      </c>
      <c r="S51" s="15" t="str">
        <f t="shared" si="6"/>
        <v/>
      </c>
      <c r="T51" s="15" t="str">
        <f t="shared" si="6"/>
        <v/>
      </c>
      <c r="U51" s="15" t="str">
        <f t="shared" si="6"/>
        <v/>
      </c>
      <c r="V51" s="15" t="str">
        <f t="shared" si="6"/>
        <v/>
      </c>
      <c r="W51" s="15" t="str">
        <f t="shared" si="6"/>
        <v/>
      </c>
      <c r="X51" s="15" t="str">
        <f t="shared" si="6"/>
        <v/>
      </c>
      <c r="Y51" s="15">
        <f t="shared" si="6"/>
        <v>1</v>
      </c>
      <c r="Z51" s="15">
        <f t="shared" si="6"/>
        <v>1</v>
      </c>
    </row>
    <row r="52" spans="1:26" x14ac:dyDescent="0.3">
      <c r="A52" s="16" t="s">
        <v>194</v>
      </c>
      <c r="B52" s="6" t="s">
        <v>195</v>
      </c>
      <c r="C52" s="6" t="s">
        <v>196</v>
      </c>
      <c r="D52" s="7" t="s">
        <v>11</v>
      </c>
      <c r="E52" s="6" t="str">
        <f>IFERROR(IF(INDEX('Thông tin'!$C$7:$C$9,MATCH(D52,'Thông tin'!$B$7:$B$9,0))="","",INDEX('Thông tin'!$C$7:$C$9,MATCH(D52,'Thông tin'!$B$7:$B$9,0))),"")</f>
        <v>Trần Quốc Anh Hoàng</v>
      </c>
      <c r="F52" s="7" t="s">
        <v>197</v>
      </c>
      <c r="G52" s="8">
        <v>46398</v>
      </c>
      <c r="H52" s="8">
        <v>46404</v>
      </c>
      <c r="I52" s="17">
        <f t="shared" si="5"/>
        <v>7</v>
      </c>
      <c r="J52" s="7">
        <v>10</v>
      </c>
      <c r="K52" s="7" t="s">
        <v>185</v>
      </c>
      <c r="L52" s="6" t="s">
        <v>60</v>
      </c>
      <c r="M52" s="15" t="str">
        <f t="shared" si="6"/>
        <v/>
      </c>
      <c r="N52" s="15" t="str">
        <f t="shared" si="6"/>
        <v/>
      </c>
      <c r="O52" s="15" t="str">
        <f t="shared" si="6"/>
        <v/>
      </c>
      <c r="P52" s="15" t="str">
        <f t="shared" si="6"/>
        <v/>
      </c>
      <c r="Q52" s="15" t="str">
        <f t="shared" si="6"/>
        <v/>
      </c>
      <c r="R52" s="15" t="str">
        <f t="shared" si="6"/>
        <v/>
      </c>
      <c r="S52" s="15" t="str">
        <f t="shared" si="6"/>
        <v/>
      </c>
      <c r="T52" s="15" t="str">
        <f t="shared" si="6"/>
        <v/>
      </c>
      <c r="U52" s="15" t="str">
        <f t="shared" si="6"/>
        <v/>
      </c>
      <c r="V52" s="15" t="str">
        <f t="shared" si="6"/>
        <v/>
      </c>
      <c r="W52" s="15" t="str">
        <f t="shared" si="6"/>
        <v/>
      </c>
      <c r="X52" s="15" t="str">
        <f t="shared" si="6"/>
        <v/>
      </c>
      <c r="Y52" s="15" t="str">
        <f t="shared" si="6"/>
        <v/>
      </c>
      <c r="Z52" s="15">
        <f t="shared" si="6"/>
        <v>1</v>
      </c>
    </row>
    <row r="53" spans="1:26" x14ac:dyDescent="0.3">
      <c r="A53" s="16" t="s">
        <v>198</v>
      </c>
      <c r="B53" s="6" t="s">
        <v>199</v>
      </c>
      <c r="C53" s="6" t="s">
        <v>200</v>
      </c>
      <c r="D53" s="7" t="s">
        <v>7</v>
      </c>
      <c r="E53" s="6" t="str">
        <f>IFERROR(IF(INDEX('Thông tin'!$C$7:$C$9,MATCH(D53,'Thông tin'!$B$7:$B$9,0))="","",INDEX('Thông tin'!$C$7:$C$9,MATCH(D53,'Thông tin'!$B$7:$B$9,0))),"")</f>
        <v>Phạm Ngọc Trung</v>
      </c>
      <c r="F53" s="7"/>
      <c r="G53" s="8">
        <v>46402</v>
      </c>
      <c r="H53" s="8">
        <v>46404</v>
      </c>
      <c r="I53" s="17">
        <f t="shared" si="5"/>
        <v>3</v>
      </c>
      <c r="J53" s="7">
        <v>2</v>
      </c>
      <c r="K53" s="7" t="s">
        <v>201</v>
      </c>
      <c r="L53" s="6" t="s">
        <v>60</v>
      </c>
      <c r="M53" s="15" t="str">
        <f t="shared" si="6"/>
        <v/>
      </c>
      <c r="N53" s="15" t="str">
        <f t="shared" si="6"/>
        <v/>
      </c>
      <c r="O53" s="15" t="str">
        <f t="shared" si="6"/>
        <v/>
      </c>
      <c r="P53" s="15" t="str">
        <f t="shared" si="6"/>
        <v/>
      </c>
      <c r="Q53" s="15" t="str">
        <f t="shared" si="6"/>
        <v/>
      </c>
      <c r="R53" s="15" t="str">
        <f t="shared" si="6"/>
        <v/>
      </c>
      <c r="S53" s="15" t="str">
        <f t="shared" si="6"/>
        <v/>
      </c>
      <c r="T53" s="15" t="str">
        <f t="shared" si="6"/>
        <v/>
      </c>
      <c r="U53" s="15" t="str">
        <f t="shared" si="6"/>
        <v/>
      </c>
      <c r="V53" s="15" t="str">
        <f t="shared" si="6"/>
        <v/>
      </c>
      <c r="W53" s="15" t="str">
        <f t="shared" si="6"/>
        <v/>
      </c>
      <c r="X53" s="15" t="str">
        <f t="shared" si="6"/>
        <v/>
      </c>
      <c r="Y53" s="15" t="str">
        <f t="shared" si="6"/>
        <v/>
      </c>
      <c r="Z53" s="15">
        <f t="shared" si="6"/>
        <v>1</v>
      </c>
    </row>
    <row r="54" spans="1:26" x14ac:dyDescent="0.3">
      <c r="A54" s="12"/>
      <c r="B54" s="12" t="s">
        <v>202</v>
      </c>
      <c r="C54" s="12"/>
      <c r="D54" s="12"/>
      <c r="E54" s="12"/>
      <c r="F54" s="12"/>
      <c r="G54" s="13">
        <f>MIN(G5:G53)</f>
        <v>46307</v>
      </c>
      <c r="H54" s="13">
        <f>MAX(H5:H53)</f>
        <v>46404</v>
      </c>
      <c r="I54" s="12"/>
      <c r="J54" s="11">
        <f>SUMIF(D5:D53,"TV*",J5:J53)</f>
        <v>420</v>
      </c>
      <c r="K54" s="12"/>
      <c r="L54" s="1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</sheetData>
  <autoFilter ref="A4:L53" xr:uid="{00000000-0009-0000-0000-000001000000}"/>
  <conditionalFormatting sqref="M5:Z53">
    <cfRule type="expression" dxfId="1" priority="2">
      <formula>AND(M5=1,$D5="")</formula>
    </cfRule>
    <cfRule type="expression" dxfId="0" priority="3">
      <formula>M5=1</formula>
    </cfRule>
  </conditionalFormatting>
  <dataValidations disablePrompts="1" count="1">
    <dataValidation type="list" allowBlank="1" sqref="L5:L53" xr:uid="{00000000-0002-0000-0100-000000000000}">
      <formula1>"Chưa bắt đầu,Đang thực hiện,Hoàn thành,Tạm dừng"</formula1>
      <formula2>0</formula2>
    </dataValidation>
  </dataValidations>
  <pageMargins left="0.4" right="0.4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8" customWidth="1"/>
    <col min="3" max="3" width="22" customWidth="1"/>
    <col min="4" max="4" width="34" customWidth="1"/>
    <col min="5" max="7" width="14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ht="17.399999999999999" x14ac:dyDescent="0.3">
      <c r="A2" s="2"/>
      <c r="B2" s="3" t="s">
        <v>203</v>
      </c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ht="30" customHeight="1" x14ac:dyDescent="0.3">
      <c r="A4" s="2"/>
      <c r="B4" s="1" t="s">
        <v>3</v>
      </c>
      <c r="C4" s="1" t="s">
        <v>4</v>
      </c>
      <c r="D4" s="1" t="s">
        <v>6</v>
      </c>
      <c r="E4" s="1" t="s">
        <v>204</v>
      </c>
      <c r="F4" s="1" t="s">
        <v>205</v>
      </c>
      <c r="G4" s="1" t="s">
        <v>206</v>
      </c>
    </row>
    <row r="5" spans="1:7" x14ac:dyDescent="0.3">
      <c r="A5" s="2"/>
      <c r="B5" s="1" t="str">
        <f>'Thông tin'!B7</f>
        <v>TV1</v>
      </c>
      <c r="C5" s="6" t="str">
        <f>IF('Thông tin'!C7="","",'Thông tin'!C7)</f>
        <v>Phạm Ngọc Trung</v>
      </c>
      <c r="D5" s="6" t="str">
        <f>'Thông tin'!E7</f>
        <v>Nhóm trưởng – Backend, AI, DevOps</v>
      </c>
      <c r="E5" s="7">
        <f>COUNTIF(WBS!$D$5:$D$53,B5)</f>
        <v>17</v>
      </c>
      <c r="F5" s="7">
        <f>SUMIF(WBS!$D$5:$D$53,B5,WBS!$J$5:$J$53)</f>
        <v>144</v>
      </c>
      <c r="G5" s="18">
        <f>IF(SUM($F$5:$F$7)=0,0,F5/SUM($F$5:$F$7))</f>
        <v>0.34285714285714286</v>
      </c>
    </row>
    <row r="6" spans="1:7" x14ac:dyDescent="0.3">
      <c r="A6" s="2"/>
      <c r="B6" s="1" t="str">
        <f>'Thông tin'!B8</f>
        <v>TV2</v>
      </c>
      <c r="C6" s="6" t="str">
        <f>IF('Thông tin'!C8="","",'Thông tin'!C8)</f>
        <v>Trần Quốc Anh Hoàng</v>
      </c>
      <c r="D6" s="6" t="str">
        <f>'Thông tin'!E8</f>
        <v>Frontend, UI/UX</v>
      </c>
      <c r="E6" s="7">
        <f>COUNTIF(WBS!$D$5:$D$53,B6)</f>
        <v>9</v>
      </c>
      <c r="F6" s="7">
        <f>SUMIF(WBS!$D$5:$D$53,B6,WBS!$J$5:$J$53)</f>
        <v>130</v>
      </c>
      <c r="G6" s="18">
        <f>IF(SUM($F$5:$F$7)=0,0,F6/SUM($F$5:$F$7))</f>
        <v>0.30952380952380953</v>
      </c>
    </row>
    <row r="7" spans="1:7" x14ac:dyDescent="0.3">
      <c r="A7" s="2"/>
      <c r="B7" s="1" t="str">
        <f>'Thông tin'!B9</f>
        <v>TV3</v>
      </c>
      <c r="C7" s="6" t="str">
        <f>IF('Thông tin'!C9="","",'Thông tin'!C9)</f>
        <v>Nguyễn Văn Thu</v>
      </c>
      <c r="D7" s="6" t="str">
        <f>'Thông tin'!E9</f>
        <v>Phân tích nghiệp vụ, kiểm thử, tài liệu</v>
      </c>
      <c r="E7" s="7">
        <f>COUNTIF(WBS!$D$5:$D$53,B7)</f>
        <v>17</v>
      </c>
      <c r="F7" s="7">
        <f>SUMIF(WBS!$D$5:$D$53,B7,WBS!$J$5:$J$53)</f>
        <v>146</v>
      </c>
      <c r="G7" s="18">
        <f>IF(SUM($F$5:$F$7)=0,0,F7/SUM($F$5:$F$7))</f>
        <v>0.34761904761904761</v>
      </c>
    </row>
    <row r="8" spans="1:7" x14ac:dyDescent="0.3">
      <c r="A8" s="2"/>
      <c r="B8" s="1" t="s">
        <v>207</v>
      </c>
      <c r="C8" s="1"/>
      <c r="D8" s="1"/>
      <c r="E8" s="1">
        <f>SUM(E5:E7)</f>
        <v>43</v>
      </c>
      <c r="F8" s="1">
        <f>SUM(F5:F7)</f>
        <v>420</v>
      </c>
      <c r="G8" s="19">
        <f>SUM(G5:G7)</f>
        <v>1</v>
      </c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5" t="s">
        <v>208</v>
      </c>
      <c r="C11" s="2"/>
      <c r="D11" s="2"/>
      <c r="E11" s="2"/>
      <c r="F11" s="2"/>
      <c r="G11" s="2"/>
    </row>
    <row r="12" spans="1:7" ht="15" customHeight="1" x14ac:dyDescent="0.3">
      <c r="A12" s="2"/>
      <c r="B12" s="1" t="s">
        <v>3</v>
      </c>
      <c r="C12" s="24" t="s">
        <v>209</v>
      </c>
      <c r="D12" s="24"/>
      <c r="E12" s="1" t="s">
        <v>7</v>
      </c>
      <c r="F12" s="1" t="s">
        <v>11</v>
      </c>
      <c r="G12" s="1" t="s">
        <v>14</v>
      </c>
    </row>
    <row r="13" spans="1:7" x14ac:dyDescent="0.3">
      <c r="A13" s="2"/>
      <c r="B13" s="20" t="str">
        <f>WBS!A5</f>
        <v>1</v>
      </c>
      <c r="C13" s="23" t="str">
        <f>WBS!B5</f>
        <v>Quản lý dự án</v>
      </c>
      <c r="D13" s="23"/>
      <c r="E13" s="20">
        <f>SUMIF(WBS!$D$6:$D$9,E$12,WBS!$J$6:$J$9)</f>
        <v>23</v>
      </c>
      <c r="F13" s="20">
        <f>SUMIF(WBS!$D$6:$D$9,F$12,WBS!$J$6:$J$9)</f>
        <v>0</v>
      </c>
      <c r="G13" s="20">
        <f>SUMIF(WBS!$D$6:$D$9,G$12,WBS!$J$6:$J$9)</f>
        <v>0</v>
      </c>
    </row>
    <row r="14" spans="1:7" x14ac:dyDescent="0.3">
      <c r="A14" s="2"/>
      <c r="B14" s="20" t="str">
        <f>WBS!A10</f>
        <v>2</v>
      </c>
      <c r="C14" s="23" t="str">
        <f>WBS!B10</f>
        <v>Khảo sát và phân tích yêu cầu</v>
      </c>
      <c r="D14" s="23"/>
      <c r="E14" s="20">
        <f>SUMIF(WBS!$D$11:$D$16,E$12,WBS!$J$11:$J$16)</f>
        <v>0</v>
      </c>
      <c r="F14" s="20">
        <f>SUMIF(WBS!$D$11:$D$16,F$12,WBS!$J$11:$J$16)</f>
        <v>0</v>
      </c>
      <c r="G14" s="20">
        <f>SUMIF(WBS!$D$11:$D$16,G$12,WBS!$J$11:$J$16)</f>
        <v>46</v>
      </c>
    </row>
    <row r="15" spans="1:7" x14ac:dyDescent="0.3">
      <c r="A15" s="2"/>
      <c r="B15" s="20" t="str">
        <f>WBS!A17</f>
        <v>3</v>
      </c>
      <c r="C15" s="23" t="str">
        <f>WBS!B17</f>
        <v>Thiết kế hệ thống (SAD)</v>
      </c>
      <c r="D15" s="23"/>
      <c r="E15" s="20">
        <f>SUMIF(WBS!$D$18:$D$24,E$12,WBS!$J$18:$J$24)</f>
        <v>30</v>
      </c>
      <c r="F15" s="20">
        <f>SUMIF(WBS!$D$18:$D$24,F$12,WBS!$J$18:$J$24)</f>
        <v>16</v>
      </c>
      <c r="G15" s="20">
        <f>SUMIF(WBS!$D$18:$D$24,G$12,WBS!$J$18:$J$24)</f>
        <v>20</v>
      </c>
    </row>
    <row r="16" spans="1:7" x14ac:dyDescent="0.3">
      <c r="A16" s="2"/>
      <c r="B16" s="20" t="str">
        <f>WBS!A25</f>
        <v>4</v>
      </c>
      <c r="C16" s="23" t="str">
        <f>WBS!B25</f>
        <v>Hiện thực phần mềm</v>
      </c>
      <c r="D16" s="23"/>
      <c r="E16" s="20">
        <f>SUMIF(WBS!$D$26:$D$40,E$12,WBS!$J$26:$J$40)</f>
        <v>70</v>
      </c>
      <c r="F16" s="20">
        <f>SUMIF(WBS!$D$26:$D$40,F$12,WBS!$J$26:$J$40)</f>
        <v>90</v>
      </c>
      <c r="G16" s="20">
        <f>SUMIF(WBS!$D$26:$D$40,G$12,WBS!$J$26:$J$40)</f>
        <v>34</v>
      </c>
    </row>
    <row r="17" spans="1:7" x14ac:dyDescent="0.3">
      <c r="A17" s="2"/>
      <c r="B17" s="20" t="str">
        <f>WBS!A41</f>
        <v>5</v>
      </c>
      <c r="C17" s="23" t="str">
        <f>WBS!B41</f>
        <v>Kiểm thử</v>
      </c>
      <c r="D17" s="23"/>
      <c r="E17" s="20">
        <f>SUMIF(WBS!$D$42:$D$46,E$12,WBS!$J$42:$J$46)</f>
        <v>14</v>
      </c>
      <c r="F17" s="20">
        <f>SUMIF(WBS!$D$42:$D$46,F$12,WBS!$J$42:$J$46)</f>
        <v>0</v>
      </c>
      <c r="G17" s="20">
        <f>SUMIF(WBS!$D$42:$D$46,G$12,WBS!$J$42:$J$46)</f>
        <v>38</v>
      </c>
    </row>
    <row r="18" spans="1:7" x14ac:dyDescent="0.3">
      <c r="A18" s="2"/>
      <c r="B18" s="20" t="str">
        <f>WBS!A47</f>
        <v>6</v>
      </c>
      <c r="C18" s="23" t="str">
        <f>WBS!B47</f>
        <v>Triển khai và bàn giao</v>
      </c>
      <c r="D18" s="23"/>
      <c r="E18" s="20">
        <f>SUMIF(WBS!$D$48:$D$53,E$12,WBS!$J$48:$J$53)</f>
        <v>7</v>
      </c>
      <c r="F18" s="20">
        <f>SUMIF(WBS!$D$48:$D$53,F$12,WBS!$J$48:$J$53)</f>
        <v>24</v>
      </c>
      <c r="G18" s="20">
        <f>SUMIF(WBS!$D$48:$D$53,G$12,WBS!$J$48:$J$53)</f>
        <v>8</v>
      </c>
    </row>
  </sheetData>
  <mergeCells count="7">
    <mergeCell ref="C17:D17"/>
    <mergeCell ref="C18:D18"/>
    <mergeCell ref="C12:D12"/>
    <mergeCell ref="C13:D13"/>
    <mergeCell ref="C14:D14"/>
    <mergeCell ref="C15:D15"/>
    <mergeCell ref="C16:D16"/>
  </mergeCells>
  <pageMargins left="0.4" right="0.4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6"/>
  <sheetViews>
    <sheetView showGridLines="0" zoomScaleNormal="100" workbookViewId="0">
      <selection activeCell="H13" sqref="H13"/>
    </sheetView>
  </sheetViews>
  <sheetFormatPr defaultColWidth="8.6640625" defaultRowHeight="14.4" x14ac:dyDescent="0.3"/>
  <cols>
    <col min="1" max="1" width="3" customWidth="1"/>
    <col min="2" max="2" width="7" customWidth="1"/>
    <col min="3" max="3" width="32" customWidth="1"/>
    <col min="4" max="4" width="46" customWidth="1"/>
    <col min="5" max="5" width="14" hidden="1" customWidth="1"/>
    <col min="6" max="6" width="12" customWidth="1"/>
    <col min="7" max="7" width="16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ht="17.399999999999999" x14ac:dyDescent="0.3">
      <c r="A2" s="2"/>
      <c r="B2" s="3" t="s">
        <v>210</v>
      </c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1" t="s">
        <v>3</v>
      </c>
      <c r="C4" s="1" t="s">
        <v>17</v>
      </c>
      <c r="D4" s="1" t="s">
        <v>211</v>
      </c>
      <c r="E4" s="1" t="s">
        <v>212</v>
      </c>
      <c r="F4" s="1" t="s">
        <v>25</v>
      </c>
      <c r="G4" s="1" t="s">
        <v>213</v>
      </c>
    </row>
    <row r="5" spans="1:7" x14ac:dyDescent="0.3">
      <c r="A5" s="2"/>
      <c r="B5" s="1" t="s">
        <v>214</v>
      </c>
      <c r="C5" s="6" t="s">
        <v>215</v>
      </c>
      <c r="D5" s="21" t="s">
        <v>251</v>
      </c>
      <c r="E5" s="8">
        <v>46313</v>
      </c>
      <c r="F5" s="7" t="s">
        <v>7</v>
      </c>
      <c r="G5" s="7" t="s">
        <v>49</v>
      </c>
    </row>
    <row r="6" spans="1:7" x14ac:dyDescent="0.3">
      <c r="A6" s="2"/>
      <c r="B6" s="1" t="s">
        <v>216</v>
      </c>
      <c r="C6" s="21" t="s">
        <v>249</v>
      </c>
      <c r="D6" s="6" t="s">
        <v>217</v>
      </c>
      <c r="E6" s="8">
        <v>46313</v>
      </c>
      <c r="F6" s="7" t="s">
        <v>14</v>
      </c>
      <c r="G6" s="7" t="s">
        <v>73</v>
      </c>
    </row>
    <row r="7" spans="1:7" x14ac:dyDescent="0.3">
      <c r="A7" s="2"/>
      <c r="B7" s="1" t="s">
        <v>218</v>
      </c>
      <c r="C7" s="6" t="s">
        <v>219</v>
      </c>
      <c r="D7" s="6" t="s">
        <v>220</v>
      </c>
      <c r="E7" s="8">
        <v>46313</v>
      </c>
      <c r="F7" s="7" t="s">
        <v>7</v>
      </c>
      <c r="G7" s="7" t="s">
        <v>49</v>
      </c>
    </row>
    <row r="8" spans="1:7" x14ac:dyDescent="0.3">
      <c r="A8" s="2"/>
      <c r="B8" s="1" t="s">
        <v>221</v>
      </c>
      <c r="C8" s="6" t="s">
        <v>222</v>
      </c>
      <c r="D8" s="6" t="s">
        <v>223</v>
      </c>
      <c r="E8" s="8">
        <v>46313</v>
      </c>
      <c r="F8" s="7" t="s">
        <v>7</v>
      </c>
      <c r="G8" s="7" t="s">
        <v>54</v>
      </c>
    </row>
    <row r="9" spans="1:7" x14ac:dyDescent="0.3">
      <c r="A9" s="2"/>
      <c r="B9" s="1" t="s">
        <v>224</v>
      </c>
      <c r="C9" s="21" t="s">
        <v>250</v>
      </c>
      <c r="D9" s="6" t="s">
        <v>225</v>
      </c>
      <c r="E9" s="8">
        <v>46355</v>
      </c>
      <c r="F9" s="7" t="s">
        <v>14</v>
      </c>
      <c r="G9" s="7" t="s">
        <v>83</v>
      </c>
    </row>
    <row r="10" spans="1:7" x14ac:dyDescent="0.3">
      <c r="A10" s="2"/>
      <c r="B10" s="1" t="s">
        <v>226</v>
      </c>
      <c r="C10" s="6" t="s">
        <v>227</v>
      </c>
      <c r="D10" s="6" t="s">
        <v>228</v>
      </c>
      <c r="E10" s="8">
        <v>46355</v>
      </c>
      <c r="F10" s="7" t="s">
        <v>14</v>
      </c>
      <c r="G10" s="7" t="s">
        <v>107</v>
      </c>
    </row>
    <row r="11" spans="1:7" x14ac:dyDescent="0.3">
      <c r="A11" s="2"/>
      <c r="B11" s="1" t="s">
        <v>229</v>
      </c>
      <c r="C11" s="6" t="s">
        <v>230</v>
      </c>
      <c r="D11" s="6" t="s">
        <v>231</v>
      </c>
      <c r="E11" s="8">
        <v>46355</v>
      </c>
      <c r="F11" s="7" t="s">
        <v>7</v>
      </c>
      <c r="G11" s="7" t="s">
        <v>92</v>
      </c>
    </row>
    <row r="12" spans="1:7" x14ac:dyDescent="0.3">
      <c r="A12" s="2"/>
      <c r="B12" s="1" t="s">
        <v>232</v>
      </c>
      <c r="C12" s="6" t="s">
        <v>233</v>
      </c>
      <c r="D12" s="6" t="s">
        <v>234</v>
      </c>
      <c r="E12" s="8">
        <v>46355</v>
      </c>
      <c r="F12" s="7" t="s">
        <v>7</v>
      </c>
      <c r="G12" s="7" t="s">
        <v>158</v>
      </c>
    </row>
    <row r="13" spans="1:7" x14ac:dyDescent="0.3">
      <c r="A13" s="2"/>
      <c r="B13" s="1" t="s">
        <v>235</v>
      </c>
      <c r="C13" s="6" t="s">
        <v>236</v>
      </c>
      <c r="D13" s="6" t="s">
        <v>237</v>
      </c>
      <c r="E13" s="8">
        <v>46404</v>
      </c>
      <c r="F13" s="7" t="s">
        <v>7</v>
      </c>
      <c r="G13" s="7" t="s">
        <v>238</v>
      </c>
    </row>
    <row r="14" spans="1:7" x14ac:dyDescent="0.3">
      <c r="A14" s="2"/>
      <c r="B14" s="1" t="s">
        <v>239</v>
      </c>
      <c r="C14" s="6" t="s">
        <v>240</v>
      </c>
      <c r="D14" s="6" t="s">
        <v>241</v>
      </c>
      <c r="E14" s="8">
        <v>46404</v>
      </c>
      <c r="F14" s="7" t="s">
        <v>14</v>
      </c>
      <c r="G14" s="7" t="s">
        <v>191</v>
      </c>
    </row>
    <row r="15" spans="1:7" x14ac:dyDescent="0.3">
      <c r="A15" s="2"/>
      <c r="B15" s="1" t="s">
        <v>242</v>
      </c>
      <c r="C15" s="6" t="s">
        <v>243</v>
      </c>
      <c r="D15" s="6" t="s">
        <v>244</v>
      </c>
      <c r="E15" s="8">
        <v>46404</v>
      </c>
      <c r="F15" s="7" t="s">
        <v>11</v>
      </c>
      <c r="G15" s="7" t="s">
        <v>188</v>
      </c>
    </row>
    <row r="16" spans="1:7" x14ac:dyDescent="0.3">
      <c r="A16" s="2"/>
      <c r="B16" s="1" t="s">
        <v>245</v>
      </c>
      <c r="C16" s="6" t="s">
        <v>246</v>
      </c>
      <c r="D16" s="6" t="s">
        <v>247</v>
      </c>
      <c r="E16" s="8">
        <v>46404</v>
      </c>
      <c r="F16" s="7" t="s">
        <v>11</v>
      </c>
      <c r="G16" s="7" t="s">
        <v>194</v>
      </c>
    </row>
  </sheetData>
  <pageMargins left="0.4" right="0.4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Thông tin</vt:lpstr>
      <vt:lpstr>WBS</vt:lpstr>
      <vt:lpstr>Phân công</vt:lpstr>
      <vt:lpstr>Deliverables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Trung Phạm Ngọc</cp:lastModifiedBy>
  <cp:revision>0</cp:revision>
  <dcterms:created xsi:type="dcterms:W3CDTF">2026-10-15T07:39:58Z</dcterms:created>
  <dcterms:modified xsi:type="dcterms:W3CDTF">2026-10-15T10:17:20Z</dcterms:modified>
  <dc:language>en-US</dc:language>
</cp:coreProperties>
</file>